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zabó Beni\Desktop\OS órai munka\"/>
    </mc:Choice>
  </mc:AlternateContent>
  <bookViews>
    <workbookView xWindow="0" yWindow="0" windowWidth="28800" windowHeight="14235" activeTab="9"/>
  </bookViews>
  <sheets>
    <sheet name="Munka1" sheetId="1" r:id="rId1"/>
    <sheet name="1.feladat" sheetId="2" r:id="rId2"/>
    <sheet name="3.feladat" sheetId="3" r:id="rId3"/>
    <sheet name="4.feladat" sheetId="4" r:id="rId4"/>
    <sheet name="17.feladat" sheetId="5" r:id="rId5"/>
    <sheet name="21.feladat" sheetId="6" r:id="rId6"/>
    <sheet name="Munka2" sheetId="7" r:id="rId7"/>
    <sheet name="fifo" sheetId="8" r:id="rId8"/>
    <sheet name="LRU" sheetId="9" r:id="rId9"/>
    <sheet name="SC" sheetId="10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" i="5" l="1"/>
  <c r="G37" i="5"/>
  <c r="F37" i="5"/>
  <c r="H31" i="5"/>
  <c r="G31" i="5"/>
  <c r="F31" i="5"/>
  <c r="H24" i="5"/>
  <c r="G24" i="5"/>
  <c r="F24" i="5"/>
  <c r="H16" i="5"/>
  <c r="G16" i="5"/>
  <c r="F16" i="5"/>
  <c r="T55" i="4" l="1"/>
  <c r="T51" i="4"/>
  <c r="S50" i="4"/>
  <c r="R50" i="4"/>
  <c r="Q50" i="4"/>
  <c r="P50" i="4"/>
  <c r="O50" i="4"/>
  <c r="N50" i="4"/>
  <c r="T40" i="4"/>
  <c r="T36" i="4"/>
  <c r="S35" i="4"/>
  <c r="R35" i="4"/>
  <c r="Q35" i="4"/>
  <c r="P35" i="4"/>
  <c r="O35" i="4"/>
  <c r="N35" i="4"/>
  <c r="T26" i="4"/>
  <c r="T22" i="4"/>
  <c r="S21" i="4"/>
  <c r="R21" i="4"/>
  <c r="Q21" i="4"/>
  <c r="P21" i="4"/>
  <c r="O21" i="4"/>
  <c r="N21" i="4"/>
  <c r="T11" i="4"/>
  <c r="T7" i="4"/>
  <c r="O6" i="4"/>
  <c r="P6" i="4"/>
  <c r="Q6" i="4"/>
  <c r="R6" i="4"/>
  <c r="S6" i="4"/>
  <c r="N6" i="4"/>
  <c r="T6" i="4" s="1"/>
  <c r="O15" i="4" s="1"/>
  <c r="I75" i="3"/>
  <c r="H75" i="3"/>
  <c r="G75" i="3"/>
  <c r="I67" i="3"/>
  <c r="H67" i="3"/>
  <c r="G67" i="3"/>
  <c r="I58" i="3"/>
  <c r="H58" i="3"/>
  <c r="G58" i="3"/>
  <c r="I48" i="3"/>
  <c r="H48" i="3"/>
  <c r="G48" i="3"/>
  <c r="I37" i="3"/>
  <c r="H37" i="3"/>
  <c r="G37" i="3"/>
  <c r="I27" i="3"/>
  <c r="H27" i="3"/>
  <c r="G27" i="3"/>
  <c r="H17" i="3"/>
  <c r="I17" i="3"/>
  <c r="G17" i="3"/>
  <c r="H56" i="2"/>
  <c r="G56" i="2"/>
  <c r="F56" i="2"/>
  <c r="H50" i="2"/>
  <c r="G50" i="2"/>
  <c r="F50" i="2"/>
  <c r="H44" i="2"/>
  <c r="G44" i="2"/>
  <c r="F44" i="2"/>
  <c r="H36" i="2"/>
  <c r="G36" i="2"/>
  <c r="F36" i="2"/>
  <c r="H27" i="2"/>
  <c r="G27" i="2"/>
  <c r="F27" i="2"/>
  <c r="G18" i="2"/>
  <c r="J14" i="2" s="1"/>
  <c r="H18" i="2"/>
  <c r="J15" i="2" s="1"/>
  <c r="F18" i="2"/>
  <c r="J13" i="2" s="1"/>
  <c r="T21" i="4" l="1"/>
  <c r="O30" i="4" s="1"/>
  <c r="T50" i="4"/>
  <c r="O59" i="4" s="1"/>
  <c r="T35" i="4"/>
  <c r="O44" i="4" s="1"/>
</calcChain>
</file>

<file path=xl/sharedStrings.xml><?xml version="1.0" encoding="utf-8"?>
<sst xmlns="http://schemas.openxmlformats.org/spreadsheetml/2006/main" count="602" uniqueCount="95">
  <si>
    <t>Clock tick</t>
  </si>
  <si>
    <t>Starting point</t>
  </si>
  <si>
    <t>A</t>
  </si>
  <si>
    <t>p_usrpri</t>
  </si>
  <si>
    <t>p_cpu</t>
  </si>
  <si>
    <t>running before</t>
  </si>
  <si>
    <t>running after</t>
  </si>
  <si>
    <t>A process</t>
  </si>
  <si>
    <t>B process</t>
  </si>
  <si>
    <t>C process</t>
  </si>
  <si>
    <t>Reschedule</t>
  </si>
  <si>
    <t>B</t>
  </si>
  <si>
    <t>C</t>
  </si>
  <si>
    <t>P1</t>
  </si>
  <si>
    <t>P2</t>
  </si>
  <si>
    <t>P3</t>
  </si>
  <si>
    <t>P4</t>
  </si>
  <si>
    <t>P5</t>
  </si>
  <si>
    <t>R1</t>
  </si>
  <si>
    <t>R2</t>
  </si>
  <si>
    <t>R3</t>
  </si>
  <si>
    <t>MAX IGÉNY</t>
  </si>
  <si>
    <t>FOGLAL</t>
  </si>
  <si>
    <t>IGÉNY MÁTRIX</t>
  </si>
  <si>
    <t>Erőforrások száma</t>
  </si>
  <si>
    <t>Új készlet</t>
  </si>
  <si>
    <t>p1</t>
  </si>
  <si>
    <t>p2</t>
  </si>
  <si>
    <t>p3</t>
  </si>
  <si>
    <t>p4</t>
  </si>
  <si>
    <t>p5</t>
  </si>
  <si>
    <t>új készlet</t>
  </si>
  <si>
    <t>P2-P5-P4-P1-P3</t>
  </si>
  <si>
    <t>Igény</t>
  </si>
  <si>
    <t>Foglalható</t>
  </si>
  <si>
    <t>Szabad területek</t>
  </si>
  <si>
    <t>Foglalási igény</t>
  </si>
  <si>
    <t>Szabad terület</t>
  </si>
  <si>
    <t>20 , 10</t>
  </si>
  <si>
    <t>24 , 11</t>
  </si>
  <si>
    <t>40, 35</t>
  </si>
  <si>
    <t>40, 5</t>
  </si>
  <si>
    <t>Töredezettség</t>
  </si>
  <si>
    <t>Szabad partíciók</t>
  </si>
  <si>
    <t>Nem sikerült lefoglalni</t>
  </si>
  <si>
    <t>1 igény</t>
  </si>
  <si>
    <t>Legkisebb eddigi foglalás</t>
  </si>
  <si>
    <t>Maradékok</t>
  </si>
  <si>
    <t>Túl kicsi blokkok</t>
  </si>
  <si>
    <t>Blokkosítás miatti belső töredezettség</t>
  </si>
  <si>
    <t>nincs foglalva</t>
  </si>
  <si>
    <t>Össz:</t>
  </si>
  <si>
    <t>First FIT</t>
  </si>
  <si>
    <t>Elveszett Memóriaterület</t>
  </si>
  <si>
    <t>Elveszett memória : (maradék + túl kicsi blokk + belsőtöredezettség)/ szabadterületek összege</t>
  </si>
  <si>
    <t>NEXT FIT</t>
  </si>
  <si>
    <t>BEST FIT</t>
  </si>
  <si>
    <t>WORST FIT</t>
  </si>
  <si>
    <t>1.rész</t>
  </si>
  <si>
    <t>2.rész</t>
  </si>
  <si>
    <t>3.rész</t>
  </si>
  <si>
    <t>4.rész</t>
  </si>
  <si>
    <t>P2 -&gt; P1 -&gt; P3 -&gt; P4</t>
  </si>
  <si>
    <t>Valós foglalás</t>
  </si>
  <si>
    <r>
      <t xml:space="preserve">40, </t>
    </r>
    <r>
      <rPr>
        <sz val="11"/>
        <color rgb="FFFF0000"/>
        <rFont val="Calibri"/>
        <family val="2"/>
        <charset val="238"/>
        <scheme val="minor"/>
      </rPr>
      <t>35</t>
    </r>
  </si>
  <si>
    <r>
      <t xml:space="preserve">24 , </t>
    </r>
    <r>
      <rPr>
        <sz val="11"/>
        <color rgb="FFFF0000"/>
        <rFont val="Calibri"/>
        <family val="2"/>
        <charset val="238"/>
        <scheme val="minor"/>
      </rPr>
      <t>11</t>
    </r>
  </si>
  <si>
    <r>
      <t xml:space="preserve">40, </t>
    </r>
    <r>
      <rPr>
        <b/>
        <sz val="11"/>
        <color rgb="FFFF0000"/>
        <rFont val="Calibri"/>
        <family val="2"/>
        <charset val="238"/>
        <scheme val="minor"/>
      </rPr>
      <t>5</t>
    </r>
  </si>
  <si>
    <r>
      <t xml:space="preserve">20 ,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</si>
  <si>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rPr>
        <b/>
        <sz val="11"/>
        <color theme="1"/>
        <rFont val="Calibri"/>
        <family val="2"/>
        <charset val="238"/>
        <scheme val="minor"/>
      </rPr>
      <t>Elveszett memória :</t>
    </r>
    <r>
      <rPr>
        <sz val="11"/>
        <color theme="1"/>
        <rFont val="Calibri"/>
        <family val="2"/>
        <charset val="238"/>
        <scheme val="minor"/>
      </rPr>
      <t xml:space="preserve"> (maradék + túl kicsi blokk + belsőtöredezettség)/ szabadterületek összege</t>
    </r>
  </si>
  <si>
    <t>Memóriakeret</t>
  </si>
  <si>
    <t>Igényelt lap</t>
  </si>
  <si>
    <t>1.keret</t>
  </si>
  <si>
    <t>2.keret</t>
  </si>
  <si>
    <t>3.keret</t>
  </si>
  <si>
    <t>4.keret</t>
  </si>
  <si>
    <t>Laphibák</t>
  </si>
  <si>
    <t>OPT</t>
  </si>
  <si>
    <t>Laphivatkozások</t>
  </si>
  <si>
    <t>*</t>
  </si>
  <si>
    <t>Laphibák száma:</t>
  </si>
  <si>
    <t>4 + 4</t>
  </si>
  <si>
    <t>OPT - optimális</t>
  </si>
  <si>
    <t>Előny : Ez adja a minimális laphiba számot</t>
  </si>
  <si>
    <t>Hátrány: a gyakorlatban megvalósíthatatlan, mert nem tudhatjuk előre a hivatkozások sorrendjét</t>
  </si>
  <si>
    <t>Az új lapot mindig annak a helyére hozzuk be, amelyre a legkésőbb fogunk(újra) hivatkozni</t>
  </si>
  <si>
    <t>Laphibák száma : 4 + 2</t>
  </si>
  <si>
    <t>Laphibák száma : 3 + 2</t>
  </si>
  <si>
    <t>Laphibák száma : 4 +2</t>
  </si>
  <si>
    <t>FIFO Vége</t>
  </si>
  <si>
    <t>Laphibák száma : 4 + 10</t>
  </si>
  <si>
    <t>Laphibák száma : 4 + 6</t>
  </si>
  <si>
    <t>1*</t>
  </si>
  <si>
    <t>LRU</t>
  </si>
  <si>
    <t>FIFO</t>
  </si>
  <si>
    <t>Laphibák száma : 3 + 4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</si>
</sst>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4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6"/>
      <name val="Calibri"/>
      <family val="2"/>
      <charset val="238"/>
      <scheme val="minor"/>
    </font>
    <font>
      <b/>
      <sz val="11"/>
      <color rgb="FF00B0F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0" xfId="0" applyFill="1" applyBorder="1"/>
    <xf numFmtId="0" fontId="0" fillId="0" borderId="8" xfId="0" applyBorder="1"/>
    <xf numFmtId="0" fontId="0" fillId="0" borderId="9" xfId="0" applyBorder="1"/>
    <xf numFmtId="0" fontId="0" fillId="2" borderId="0" xfId="0" applyFill="1" applyBorder="1"/>
    <xf numFmtId="0" fontId="0" fillId="2" borderId="8" xfId="0" applyFill="1" applyBorder="1"/>
    <xf numFmtId="0" fontId="0" fillId="2" borderId="3" xfId="0" applyFill="1" applyBorder="1"/>
    <xf numFmtId="0" fontId="0" fillId="0" borderId="2" xfId="0" applyFill="1" applyBorder="1"/>
    <xf numFmtId="0" fontId="0" fillId="0" borderId="10" xfId="0" applyBorder="1"/>
    <xf numFmtId="0" fontId="0" fillId="0" borderId="12" xfId="0" applyFill="1" applyBorder="1"/>
    <xf numFmtId="0" fontId="0" fillId="0" borderId="12" xfId="0" applyBorder="1"/>
    <xf numFmtId="0" fontId="0" fillId="0" borderId="13" xfId="0" applyBorder="1"/>
    <xf numFmtId="0" fontId="0" fillId="0" borderId="13" xfId="0" applyFill="1" applyBorder="1"/>
    <xf numFmtId="0" fontId="0" fillId="2" borderId="13" xfId="0" applyFill="1" applyBorder="1"/>
    <xf numFmtId="0" fontId="0" fillId="0" borderId="11" xfId="0" applyBorder="1"/>
    <xf numFmtId="0" fontId="0" fillId="0" borderId="8" xfId="0" applyFill="1" applyBorder="1"/>
    <xf numFmtId="0" fontId="0" fillId="0" borderId="3" xfId="0" applyFill="1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Fill="1" applyBorder="1"/>
    <xf numFmtId="0" fontId="0" fillId="0" borderId="25" xfId="0" applyBorder="1"/>
    <xf numFmtId="0" fontId="0" fillId="0" borderId="11" xfId="0" applyFill="1" applyBorder="1"/>
    <xf numFmtId="0" fontId="0" fillId="0" borderId="26" xfId="0" applyBorder="1"/>
    <xf numFmtId="0" fontId="0" fillId="0" borderId="21" xfId="0" applyFill="1" applyBorder="1"/>
    <xf numFmtId="0" fontId="0" fillId="2" borderId="21" xfId="0" applyFill="1" applyBorder="1"/>
    <xf numFmtId="0" fontId="0" fillId="0" borderId="14" xfId="0" applyBorder="1"/>
    <xf numFmtId="0" fontId="0" fillId="0" borderId="27" xfId="0" applyBorder="1"/>
    <xf numFmtId="0" fontId="0" fillId="0" borderId="28" xfId="0" applyBorder="1"/>
    <xf numFmtId="0" fontId="0" fillId="0" borderId="29" xfId="0" applyFill="1" applyBorder="1"/>
    <xf numFmtId="0" fontId="2" fillId="0" borderId="0" xfId="0" applyFont="1"/>
    <xf numFmtId="0" fontId="2" fillId="0" borderId="27" xfId="0" applyFont="1" applyBorder="1"/>
    <xf numFmtId="0" fontId="2" fillId="0" borderId="14" xfId="0" applyFont="1" applyBorder="1"/>
    <xf numFmtId="0" fontId="0" fillId="0" borderId="0" xfId="0" applyAlignment="1"/>
    <xf numFmtId="0" fontId="3" fillId="0" borderId="0" xfId="0" applyFont="1"/>
    <xf numFmtId="0" fontId="2" fillId="0" borderId="0" xfId="0" applyFont="1" applyAlignment="1"/>
    <xf numFmtId="0" fontId="0" fillId="0" borderId="33" xfId="0" applyBorder="1"/>
    <xf numFmtId="0" fontId="0" fillId="0" borderId="34" xfId="0" applyBorder="1"/>
    <xf numFmtId="0" fontId="2" fillId="0" borderId="37" xfId="0" applyFont="1" applyBorder="1" applyAlignment="1"/>
    <xf numFmtId="0" fontId="2" fillId="0" borderId="38" xfId="0" applyFont="1" applyBorder="1" applyAlignment="1"/>
    <xf numFmtId="0" fontId="0" fillId="0" borderId="32" xfId="0" applyBorder="1"/>
    <xf numFmtId="0" fontId="0" fillId="0" borderId="17" xfId="0" applyBorder="1"/>
    <xf numFmtId="0" fontId="0" fillId="0" borderId="1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2" fillId="0" borderId="40" xfId="0" applyFont="1" applyBorder="1" applyAlignment="1"/>
    <xf numFmtId="0" fontId="0" fillId="0" borderId="28" xfId="0" applyFont="1" applyBorder="1" applyAlignment="1"/>
    <xf numFmtId="0" fontId="0" fillId="0" borderId="11" xfId="0" applyFont="1" applyBorder="1" applyAlignment="1"/>
    <xf numFmtId="0" fontId="0" fillId="0" borderId="36" xfId="0" applyFont="1" applyBorder="1" applyAlignment="1"/>
    <xf numFmtId="0" fontId="0" fillId="3" borderId="0" xfId="0" applyFill="1"/>
    <xf numFmtId="10" fontId="0" fillId="0" borderId="0" xfId="1" applyNumberFormat="1" applyFont="1"/>
    <xf numFmtId="0" fontId="3" fillId="0" borderId="41" xfId="0" applyFont="1" applyBorder="1"/>
    <xf numFmtId="0" fontId="3" fillId="0" borderId="42" xfId="0" applyFont="1" applyBorder="1"/>
    <xf numFmtId="0" fontId="3" fillId="0" borderId="43" xfId="0" applyFont="1" applyBorder="1"/>
    <xf numFmtId="0" fontId="5" fillId="0" borderId="41" xfId="0" applyFont="1" applyBorder="1"/>
    <xf numFmtId="0" fontId="5" fillId="0" borderId="42" xfId="0" applyFont="1" applyBorder="1"/>
    <xf numFmtId="0" fontId="5" fillId="0" borderId="43" xfId="0" applyFont="1" applyBorder="1"/>
    <xf numFmtId="0" fontId="3" fillId="0" borderId="1" xfId="0" applyFont="1" applyBorder="1"/>
    <xf numFmtId="0" fontId="6" fillId="0" borderId="0" xfId="0" applyFont="1"/>
    <xf numFmtId="0" fontId="7" fillId="0" borderId="28" xfId="0" applyFont="1" applyBorder="1" applyAlignment="1"/>
    <xf numFmtId="0" fontId="3" fillId="0" borderId="33" xfId="0" applyFont="1" applyBorder="1"/>
    <xf numFmtId="0" fontId="6" fillId="0" borderId="33" xfId="0" applyFont="1" applyBorder="1"/>
    <xf numFmtId="0" fontId="6" fillId="0" borderId="34" xfId="0" applyFont="1" applyBorder="1"/>
    <xf numFmtId="0" fontId="6" fillId="0" borderId="17" xfId="0" applyFont="1" applyBorder="1"/>
    <xf numFmtId="0" fontId="3" fillId="0" borderId="32" xfId="0" applyFont="1" applyBorder="1"/>
    <xf numFmtId="10" fontId="3" fillId="0" borderId="0" xfId="1" applyNumberFormat="1" applyFont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" xfId="0" applyBorder="1"/>
    <xf numFmtId="0" fontId="0" fillId="0" borderId="6" xfId="0" applyBorder="1"/>
    <xf numFmtId="0" fontId="3" fillId="0" borderId="49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48" xfId="0" applyFont="1" applyBorder="1"/>
    <xf numFmtId="0" fontId="3" fillId="0" borderId="0" xfId="0" applyFont="1" applyFill="1" applyBorder="1"/>
    <xf numFmtId="0" fontId="6" fillId="0" borderId="0" xfId="0" applyFont="1" applyFill="1" applyBorder="1"/>
    <xf numFmtId="0" fontId="0" fillId="0" borderId="0" xfId="0" applyFont="1" applyFill="1" applyBorder="1"/>
    <xf numFmtId="0" fontId="3" fillId="0" borderId="0" xfId="0" applyFont="1" applyBorder="1"/>
    <xf numFmtId="0" fontId="3" fillId="0" borderId="47" xfId="0" applyFont="1" applyFill="1" applyBorder="1"/>
    <xf numFmtId="0" fontId="3" fillId="0" borderId="5" xfId="0" applyFont="1" applyBorder="1" applyAlignment="1">
      <alignment horizontal="center"/>
    </xf>
    <xf numFmtId="0" fontId="3" fillId="0" borderId="47" xfId="0" applyFont="1" applyBorder="1"/>
    <xf numFmtId="0" fontId="3" fillId="0" borderId="2" xfId="0" applyFont="1" applyBorder="1"/>
    <xf numFmtId="0" fontId="6" fillId="0" borderId="47" xfId="0" applyFont="1" applyBorder="1"/>
    <xf numFmtId="0" fontId="6" fillId="0" borderId="0" xfId="0" applyFont="1" applyBorder="1"/>
    <xf numFmtId="0" fontId="6" fillId="0" borderId="2" xfId="0" applyFont="1" applyBorder="1"/>
    <xf numFmtId="0" fontId="3" fillId="0" borderId="45" xfId="0" applyFont="1" applyBorder="1"/>
    <xf numFmtId="0" fontId="0" fillId="0" borderId="4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0" xfId="0" applyFont="1" applyFill="1" applyBorder="1"/>
    <xf numFmtId="0" fontId="8" fillId="0" borderId="0" xfId="0" applyFont="1" applyBorder="1"/>
    <xf numFmtId="0" fontId="8" fillId="0" borderId="2" xfId="0" applyFont="1" applyFill="1" applyBorder="1"/>
    <xf numFmtId="0" fontId="8" fillId="0" borderId="2" xfId="0" applyFont="1" applyBorder="1"/>
    <xf numFmtId="0" fontId="3" fillId="0" borderId="50" xfId="0" applyFont="1" applyBorder="1"/>
    <xf numFmtId="0" fontId="0" fillId="0" borderId="5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0" xfId="0" applyFont="1" applyFill="1" applyBorder="1"/>
    <xf numFmtId="0" fontId="3" fillId="0" borderId="46" xfId="0" applyFont="1" applyBorder="1"/>
    <xf numFmtId="0" fontId="9" fillId="0" borderId="4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4" fillId="0" borderId="0" xfId="0" applyFont="1" applyBorder="1"/>
    <xf numFmtId="0" fontId="11" fillId="0" borderId="0" xfId="0" applyFont="1" applyBorder="1"/>
    <xf numFmtId="0" fontId="11" fillId="0" borderId="0" xfId="0" applyFont="1" applyFill="1" applyBorder="1"/>
    <xf numFmtId="164" fontId="3" fillId="0" borderId="0" xfId="0" applyNumberFormat="1" applyFont="1" applyFill="1" applyBorder="1"/>
    <xf numFmtId="164" fontId="6" fillId="0" borderId="0" xfId="0" applyNumberFormat="1" applyFont="1" applyFill="1" applyBorder="1"/>
    <xf numFmtId="0" fontId="6" fillId="0" borderId="44" xfId="0" applyFont="1" applyBorder="1"/>
    <xf numFmtId="0" fontId="6" fillId="0" borderId="4" xfId="0" applyFont="1" applyBorder="1"/>
    <xf numFmtId="164" fontId="3" fillId="0" borderId="0" xfId="0" applyNumberFormat="1" applyFont="1" applyBorder="1"/>
    <xf numFmtId="164" fontId="11" fillId="0" borderId="0" xfId="0" applyNumberFormat="1" applyFont="1" applyBorder="1"/>
    <xf numFmtId="164" fontId="6" fillId="0" borderId="0" xfId="0" applyNumberFormat="1" applyFont="1" applyBorder="1"/>
    <xf numFmtId="164" fontId="11" fillId="0" borderId="0" xfId="0" applyNumberFormat="1" applyFont="1" applyFill="1" applyBorder="1"/>
    <xf numFmtId="164" fontId="8" fillId="0" borderId="0" xfId="0" applyNumberFormat="1" applyFont="1" applyFill="1" applyBorder="1"/>
    <xf numFmtId="0" fontId="11" fillId="0" borderId="47" xfId="0" applyFont="1" applyBorder="1"/>
    <xf numFmtId="164" fontId="6" fillId="0" borderId="2" xfId="0" applyNumberFormat="1" applyFont="1" applyFill="1" applyBorder="1"/>
    <xf numFmtId="0" fontId="3" fillId="0" borderId="2" xfId="0" applyFont="1" applyFill="1" applyBorder="1"/>
    <xf numFmtId="0" fontId="3" fillId="0" borderId="7" xfId="0" applyFon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selection activeCell="G127" sqref="G127"/>
    </sheetView>
  </sheetViews>
  <sheetFormatPr defaultRowHeight="15" x14ac:dyDescent="0.25"/>
  <cols>
    <col min="1" max="1" width="11.85546875" bestFit="1" customWidth="1"/>
    <col min="9" max="9" width="11.42578125" bestFit="1" customWidth="1"/>
    <col min="10" max="10" width="17.7109375" customWidth="1"/>
    <col min="11" max="61" width="2.7109375" customWidth="1"/>
  </cols>
  <sheetData>
    <row r="1" spans="1:9" ht="15.75" thickBot="1" x14ac:dyDescent="0.3">
      <c r="A1" s="22"/>
      <c r="B1" s="134" t="s">
        <v>7</v>
      </c>
      <c r="C1" s="134"/>
      <c r="D1" s="134" t="s">
        <v>8</v>
      </c>
      <c r="E1" s="134"/>
      <c r="F1" s="134" t="s">
        <v>9</v>
      </c>
      <c r="G1" s="135"/>
      <c r="H1" s="136" t="s">
        <v>10</v>
      </c>
      <c r="I1" s="137"/>
    </row>
    <row r="2" spans="1:9" x14ac:dyDescent="0.25">
      <c r="A2" s="23" t="s">
        <v>0</v>
      </c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5" t="s">
        <v>4</v>
      </c>
      <c r="H2" s="1" t="s">
        <v>5</v>
      </c>
      <c r="I2" s="2" t="s">
        <v>6</v>
      </c>
    </row>
    <row r="3" spans="1:9" x14ac:dyDescent="0.25">
      <c r="A3" s="24" t="s">
        <v>1</v>
      </c>
      <c r="B3" s="1">
        <v>50</v>
      </c>
      <c r="C3" s="1">
        <v>0</v>
      </c>
      <c r="D3" s="1">
        <v>50</v>
      </c>
      <c r="E3" s="1">
        <v>0</v>
      </c>
      <c r="F3" s="1">
        <v>50</v>
      </c>
      <c r="G3" s="15">
        <v>0</v>
      </c>
      <c r="H3" s="1"/>
      <c r="I3" s="2" t="s">
        <v>2</v>
      </c>
    </row>
    <row r="4" spans="1:9" ht="15.75" thickBot="1" x14ac:dyDescent="0.3">
      <c r="A4" s="25">
        <v>1</v>
      </c>
      <c r="B4" s="3">
        <v>50</v>
      </c>
      <c r="C4" s="3">
        <v>1</v>
      </c>
      <c r="D4" s="3">
        <v>50</v>
      </c>
      <c r="E4" s="3">
        <v>0</v>
      </c>
      <c r="F4" s="3">
        <v>50</v>
      </c>
      <c r="G4" s="26">
        <v>0</v>
      </c>
      <c r="H4" s="3" t="s">
        <v>2</v>
      </c>
      <c r="I4" s="4" t="s">
        <v>2</v>
      </c>
    </row>
    <row r="5" spans="1:9" x14ac:dyDescent="0.25">
      <c r="A5" s="27">
        <v>2</v>
      </c>
      <c r="B5" s="1">
        <v>50</v>
      </c>
      <c r="C5" s="1">
        <v>2</v>
      </c>
      <c r="D5" s="1">
        <v>50</v>
      </c>
      <c r="E5" s="1">
        <v>0</v>
      </c>
      <c r="F5" s="1">
        <v>50</v>
      </c>
      <c r="G5" s="15">
        <v>0</v>
      </c>
      <c r="H5" t="s">
        <v>2</v>
      </c>
      <c r="I5" s="12" t="s">
        <v>2</v>
      </c>
    </row>
    <row r="6" spans="1:9" x14ac:dyDescent="0.25">
      <c r="A6" s="27">
        <v>3</v>
      </c>
      <c r="B6" s="1">
        <v>50</v>
      </c>
      <c r="C6" s="1">
        <v>3</v>
      </c>
      <c r="D6" s="6">
        <v>50</v>
      </c>
      <c r="E6" s="6">
        <v>0</v>
      </c>
      <c r="F6" s="6">
        <v>50</v>
      </c>
      <c r="G6" s="14">
        <v>0</v>
      </c>
      <c r="H6" t="s">
        <v>2</v>
      </c>
      <c r="I6" s="12" t="s">
        <v>2</v>
      </c>
    </row>
    <row r="7" spans="1:9" x14ac:dyDescent="0.25">
      <c r="A7" s="27">
        <v>4</v>
      </c>
      <c r="B7" s="1">
        <v>50</v>
      </c>
      <c r="C7" s="1">
        <v>4</v>
      </c>
      <c r="D7" s="1">
        <v>50</v>
      </c>
      <c r="E7" s="6">
        <v>0</v>
      </c>
      <c r="F7" s="6">
        <v>50</v>
      </c>
      <c r="G7" s="14">
        <v>0</v>
      </c>
      <c r="H7" t="s">
        <v>2</v>
      </c>
      <c r="I7" s="12" t="s">
        <v>2</v>
      </c>
    </row>
    <row r="8" spans="1:9" x14ac:dyDescent="0.25">
      <c r="A8" s="27">
        <v>5</v>
      </c>
      <c r="B8" s="1">
        <v>50</v>
      </c>
      <c r="C8" s="1">
        <v>5</v>
      </c>
      <c r="D8" s="6">
        <v>50</v>
      </c>
      <c r="E8" s="6">
        <v>0</v>
      </c>
      <c r="F8" s="6">
        <v>50</v>
      </c>
      <c r="G8" s="14">
        <v>0</v>
      </c>
      <c r="H8" t="s">
        <v>2</v>
      </c>
      <c r="I8" s="12" t="s">
        <v>2</v>
      </c>
    </row>
    <row r="9" spans="1:9" x14ac:dyDescent="0.25">
      <c r="A9" s="27">
        <v>6</v>
      </c>
      <c r="B9" s="1">
        <v>50</v>
      </c>
      <c r="C9" s="1">
        <v>6</v>
      </c>
      <c r="D9" s="1">
        <v>50</v>
      </c>
      <c r="E9" s="1">
        <v>0</v>
      </c>
      <c r="F9" s="6">
        <v>50</v>
      </c>
      <c r="G9" s="14">
        <v>0</v>
      </c>
      <c r="H9" t="s">
        <v>2</v>
      </c>
      <c r="I9" s="12" t="s">
        <v>2</v>
      </c>
    </row>
    <row r="10" spans="1:9" x14ac:dyDescent="0.25">
      <c r="A10" s="27">
        <v>7</v>
      </c>
      <c r="B10" s="1">
        <v>50</v>
      </c>
      <c r="C10" s="1">
        <v>7</v>
      </c>
      <c r="D10" s="6">
        <v>50</v>
      </c>
      <c r="E10" s="6">
        <v>0</v>
      </c>
      <c r="F10" s="6">
        <v>50</v>
      </c>
      <c r="G10" s="14">
        <v>0</v>
      </c>
      <c r="H10" t="s">
        <v>2</v>
      </c>
      <c r="I10" s="2" t="s">
        <v>2</v>
      </c>
    </row>
    <row r="11" spans="1:9" x14ac:dyDescent="0.25">
      <c r="A11" s="27">
        <v>8</v>
      </c>
      <c r="B11" s="1">
        <v>50</v>
      </c>
      <c r="C11" s="1">
        <v>8</v>
      </c>
      <c r="D11" s="1">
        <v>50</v>
      </c>
      <c r="E11" s="6">
        <v>0</v>
      </c>
      <c r="F11" s="6">
        <v>50</v>
      </c>
      <c r="G11" s="14">
        <v>0</v>
      </c>
      <c r="H11" t="s">
        <v>2</v>
      </c>
      <c r="I11" s="2" t="s">
        <v>2</v>
      </c>
    </row>
    <row r="12" spans="1:9" x14ac:dyDescent="0.25">
      <c r="A12" s="27">
        <v>9</v>
      </c>
      <c r="B12" s="1">
        <v>50</v>
      </c>
      <c r="C12" s="1">
        <v>9</v>
      </c>
      <c r="D12" s="6">
        <v>50</v>
      </c>
      <c r="E12" s="6">
        <v>0</v>
      </c>
      <c r="F12" s="6">
        <v>50</v>
      </c>
      <c r="G12" s="14">
        <v>0</v>
      </c>
      <c r="H12" t="s">
        <v>2</v>
      </c>
      <c r="I12" s="2" t="s">
        <v>2</v>
      </c>
    </row>
    <row r="13" spans="1:9" ht="15.75" thickBot="1" x14ac:dyDescent="0.3">
      <c r="A13" s="28">
        <v>10</v>
      </c>
      <c r="B13" s="7">
        <v>50</v>
      </c>
      <c r="C13" s="10">
        <v>10</v>
      </c>
      <c r="D13" s="7">
        <v>50</v>
      </c>
      <c r="E13" s="7">
        <v>0</v>
      </c>
      <c r="F13" s="20">
        <v>50</v>
      </c>
      <c r="G13" s="29">
        <v>0</v>
      </c>
      <c r="H13" s="7" t="s">
        <v>2</v>
      </c>
      <c r="I13" s="13" t="s">
        <v>11</v>
      </c>
    </row>
    <row r="14" spans="1:9" ht="15.75" thickTop="1" x14ac:dyDescent="0.25">
      <c r="A14" s="27">
        <v>11</v>
      </c>
      <c r="B14" s="8">
        <v>50</v>
      </c>
      <c r="C14" s="8">
        <v>10</v>
      </c>
      <c r="D14" s="1">
        <v>50</v>
      </c>
      <c r="E14" s="6">
        <v>0</v>
      </c>
      <c r="F14" s="6">
        <v>50</v>
      </c>
      <c r="G14" s="14">
        <v>0</v>
      </c>
      <c r="H14" s="6" t="s">
        <v>11</v>
      </c>
      <c r="I14" s="14" t="s">
        <v>12</v>
      </c>
    </row>
    <row r="15" spans="1:9" x14ac:dyDescent="0.25">
      <c r="A15" s="27">
        <v>12</v>
      </c>
      <c r="B15" s="1">
        <v>50</v>
      </c>
      <c r="C15" s="1">
        <v>10</v>
      </c>
      <c r="D15" s="6">
        <v>50</v>
      </c>
      <c r="E15" s="6">
        <v>0</v>
      </c>
      <c r="F15" s="6">
        <v>50</v>
      </c>
      <c r="G15" s="14">
        <v>0</v>
      </c>
      <c r="H15" s="1"/>
      <c r="I15" s="15"/>
    </row>
    <row r="16" spans="1:9" x14ac:dyDescent="0.25">
      <c r="A16" s="27">
        <v>13</v>
      </c>
      <c r="B16" s="1">
        <v>50</v>
      </c>
      <c r="C16" s="1">
        <v>10</v>
      </c>
      <c r="D16" s="6">
        <v>50</v>
      </c>
      <c r="E16" s="6">
        <v>0</v>
      </c>
      <c r="F16" s="6">
        <v>50</v>
      </c>
      <c r="G16" s="14">
        <v>0</v>
      </c>
      <c r="H16" s="1"/>
      <c r="I16" s="15"/>
    </row>
    <row r="17" spans="1:9" x14ac:dyDescent="0.25">
      <c r="A17" s="27">
        <v>14</v>
      </c>
      <c r="B17" s="1">
        <v>50</v>
      </c>
      <c r="C17" s="1">
        <v>10</v>
      </c>
      <c r="D17" s="6">
        <v>50</v>
      </c>
      <c r="E17" s="6">
        <v>0</v>
      </c>
      <c r="F17" s="6">
        <v>50</v>
      </c>
      <c r="G17" s="14">
        <v>0</v>
      </c>
      <c r="H17" s="1"/>
      <c r="I17" s="15"/>
    </row>
    <row r="18" spans="1:9" x14ac:dyDescent="0.25">
      <c r="A18" s="27">
        <v>15</v>
      </c>
      <c r="B18" s="1">
        <v>50</v>
      </c>
      <c r="C18" s="1">
        <v>10</v>
      </c>
      <c r="D18" s="6">
        <v>50</v>
      </c>
      <c r="E18" s="6">
        <v>0</v>
      </c>
      <c r="F18" s="6">
        <v>50</v>
      </c>
      <c r="G18" s="14">
        <v>0</v>
      </c>
      <c r="H18" s="1"/>
      <c r="I18" s="15"/>
    </row>
    <row r="19" spans="1:9" x14ac:dyDescent="0.25">
      <c r="A19" s="27">
        <v>16</v>
      </c>
      <c r="B19" s="1">
        <v>50</v>
      </c>
      <c r="C19" s="1">
        <v>10</v>
      </c>
      <c r="D19" s="6">
        <v>50</v>
      </c>
      <c r="E19" s="6">
        <v>0</v>
      </c>
      <c r="F19" s="6">
        <v>50</v>
      </c>
      <c r="G19" s="14">
        <v>0</v>
      </c>
      <c r="H19" s="1"/>
      <c r="I19" s="15"/>
    </row>
    <row r="20" spans="1:9" x14ac:dyDescent="0.25">
      <c r="A20" s="27">
        <v>17</v>
      </c>
      <c r="B20" s="1">
        <v>50</v>
      </c>
      <c r="C20" s="1">
        <v>10</v>
      </c>
      <c r="D20" s="6">
        <v>50</v>
      </c>
      <c r="E20" s="6">
        <v>0</v>
      </c>
      <c r="F20" s="6">
        <v>50</v>
      </c>
      <c r="G20" s="14">
        <v>0</v>
      </c>
      <c r="H20" s="1"/>
      <c r="I20" s="15"/>
    </row>
    <row r="21" spans="1:9" x14ac:dyDescent="0.25">
      <c r="A21" s="27">
        <v>18</v>
      </c>
      <c r="B21" s="1">
        <v>50</v>
      </c>
      <c r="C21" s="1">
        <v>10</v>
      </c>
      <c r="D21" s="6">
        <v>50</v>
      </c>
      <c r="E21" s="6">
        <v>0</v>
      </c>
      <c r="F21" s="6">
        <v>50</v>
      </c>
      <c r="G21" s="14">
        <v>0</v>
      </c>
      <c r="H21" s="1"/>
      <c r="I21" s="15"/>
    </row>
    <row r="22" spans="1:9" x14ac:dyDescent="0.25">
      <c r="A22" s="27">
        <v>19</v>
      </c>
      <c r="B22" s="1">
        <v>50</v>
      </c>
      <c r="C22" s="1">
        <v>10</v>
      </c>
      <c r="D22" s="6">
        <v>50</v>
      </c>
      <c r="E22" s="9">
        <v>9</v>
      </c>
      <c r="F22" s="6">
        <v>50</v>
      </c>
      <c r="G22" s="14">
        <v>0</v>
      </c>
      <c r="H22" s="1"/>
      <c r="I22" s="15"/>
    </row>
    <row r="23" spans="1:9" x14ac:dyDescent="0.25">
      <c r="A23" s="30">
        <v>20</v>
      </c>
      <c r="B23" s="16">
        <v>50</v>
      </c>
      <c r="C23" s="16">
        <v>10</v>
      </c>
      <c r="D23" s="17">
        <v>50</v>
      </c>
      <c r="E23" s="18">
        <v>10</v>
      </c>
      <c r="F23" s="17">
        <v>50</v>
      </c>
      <c r="G23" s="31">
        <v>0</v>
      </c>
      <c r="H23" s="16" t="s">
        <v>11</v>
      </c>
      <c r="I23" s="19" t="s">
        <v>12</v>
      </c>
    </row>
    <row r="24" spans="1:9" x14ac:dyDescent="0.25">
      <c r="A24" s="27">
        <v>21</v>
      </c>
      <c r="B24" s="6">
        <v>50</v>
      </c>
      <c r="C24" s="6">
        <v>10</v>
      </c>
      <c r="D24" s="6">
        <v>50</v>
      </c>
      <c r="E24" s="6">
        <v>10</v>
      </c>
      <c r="F24" s="6">
        <v>50</v>
      </c>
      <c r="G24" s="14">
        <v>1</v>
      </c>
    </row>
    <row r="25" spans="1:9" x14ac:dyDescent="0.25">
      <c r="A25" s="27">
        <v>22</v>
      </c>
      <c r="B25" s="6">
        <v>50</v>
      </c>
      <c r="C25" s="6">
        <v>10</v>
      </c>
      <c r="D25" s="6">
        <v>50</v>
      </c>
      <c r="E25" s="6">
        <v>10</v>
      </c>
      <c r="F25" s="1">
        <v>50</v>
      </c>
      <c r="G25" s="14">
        <v>2</v>
      </c>
    </row>
    <row r="26" spans="1:9" x14ac:dyDescent="0.25">
      <c r="A26" s="27">
        <v>23</v>
      </c>
      <c r="B26" s="6">
        <v>50</v>
      </c>
      <c r="C26" s="6">
        <v>10</v>
      </c>
      <c r="D26" s="6">
        <v>50</v>
      </c>
      <c r="E26" s="6">
        <v>10</v>
      </c>
      <c r="F26" s="6">
        <v>50</v>
      </c>
      <c r="G26" s="14">
        <v>3</v>
      </c>
    </row>
    <row r="27" spans="1:9" x14ac:dyDescent="0.25">
      <c r="A27" s="27">
        <v>24</v>
      </c>
      <c r="B27" s="6">
        <v>50</v>
      </c>
      <c r="C27" s="6">
        <v>10</v>
      </c>
      <c r="D27" s="6">
        <v>50</v>
      </c>
      <c r="E27" s="6">
        <v>10</v>
      </c>
      <c r="F27" s="6">
        <v>50</v>
      </c>
      <c r="G27" s="14">
        <v>4</v>
      </c>
    </row>
    <row r="28" spans="1:9" x14ac:dyDescent="0.25">
      <c r="A28" s="27">
        <v>25</v>
      </c>
      <c r="B28" s="6">
        <v>50</v>
      </c>
      <c r="C28" s="6">
        <v>10</v>
      </c>
      <c r="D28" s="6">
        <v>50</v>
      </c>
      <c r="E28" s="6">
        <v>10</v>
      </c>
      <c r="F28" s="6">
        <v>50</v>
      </c>
      <c r="G28" s="14">
        <v>5</v>
      </c>
    </row>
    <row r="29" spans="1:9" x14ac:dyDescent="0.25">
      <c r="A29" s="27">
        <v>26</v>
      </c>
      <c r="B29" s="6">
        <v>50</v>
      </c>
      <c r="C29" s="6">
        <v>10</v>
      </c>
      <c r="D29" s="6">
        <v>50</v>
      </c>
      <c r="E29" s="6">
        <v>10</v>
      </c>
      <c r="F29" s="6">
        <v>50</v>
      </c>
      <c r="G29" s="14">
        <v>6</v>
      </c>
    </row>
    <row r="30" spans="1:9" x14ac:dyDescent="0.25">
      <c r="A30" s="27">
        <v>27</v>
      </c>
      <c r="B30" s="6">
        <v>50</v>
      </c>
      <c r="C30" s="6">
        <v>10</v>
      </c>
      <c r="D30" s="6">
        <v>50</v>
      </c>
      <c r="E30" s="6">
        <v>10</v>
      </c>
      <c r="F30" s="6">
        <v>50</v>
      </c>
      <c r="G30" s="14">
        <v>7</v>
      </c>
    </row>
    <row r="31" spans="1:9" x14ac:dyDescent="0.25">
      <c r="A31" s="27">
        <v>28</v>
      </c>
      <c r="B31" s="6">
        <v>50</v>
      </c>
      <c r="C31" s="6">
        <v>10</v>
      </c>
      <c r="D31" s="6">
        <v>50</v>
      </c>
      <c r="E31" s="6">
        <v>10</v>
      </c>
      <c r="F31" s="6">
        <v>50</v>
      </c>
      <c r="G31" s="14">
        <v>8</v>
      </c>
    </row>
    <row r="32" spans="1:9" x14ac:dyDescent="0.25">
      <c r="A32" s="27">
        <v>29</v>
      </c>
      <c r="B32" s="6">
        <v>50</v>
      </c>
      <c r="C32" s="6">
        <v>10</v>
      </c>
      <c r="D32" s="6">
        <v>50</v>
      </c>
      <c r="E32" s="6">
        <v>10</v>
      </c>
      <c r="F32" s="6">
        <v>50</v>
      </c>
      <c r="G32" s="14">
        <v>9</v>
      </c>
    </row>
    <row r="33" spans="1:7" x14ac:dyDescent="0.25">
      <c r="A33" s="27">
        <v>30</v>
      </c>
      <c r="B33" s="1">
        <v>50</v>
      </c>
      <c r="C33" s="1">
        <v>10</v>
      </c>
      <c r="D33" s="1">
        <v>50</v>
      </c>
      <c r="E33" s="1">
        <v>10</v>
      </c>
      <c r="F33" s="1">
        <v>50</v>
      </c>
      <c r="G33" s="15">
        <v>10</v>
      </c>
    </row>
    <row r="34" spans="1:7" x14ac:dyDescent="0.25">
      <c r="A34" s="27">
        <v>31</v>
      </c>
      <c r="B34" s="1">
        <v>50</v>
      </c>
      <c r="C34" s="1">
        <v>11</v>
      </c>
      <c r="D34" s="1">
        <v>50</v>
      </c>
      <c r="E34" s="1">
        <v>10</v>
      </c>
      <c r="F34" s="1">
        <v>50</v>
      </c>
      <c r="G34" s="15">
        <v>10</v>
      </c>
    </row>
    <row r="35" spans="1:7" x14ac:dyDescent="0.25">
      <c r="A35" s="27">
        <v>32</v>
      </c>
      <c r="B35" s="1">
        <v>50</v>
      </c>
      <c r="C35" s="1">
        <v>12</v>
      </c>
      <c r="D35" s="1">
        <v>50</v>
      </c>
      <c r="E35" s="1">
        <v>10</v>
      </c>
      <c r="F35" s="1">
        <v>50</v>
      </c>
      <c r="G35" s="15">
        <v>10</v>
      </c>
    </row>
    <row r="36" spans="1:7" x14ac:dyDescent="0.25">
      <c r="A36" s="27">
        <v>33</v>
      </c>
      <c r="B36" s="1">
        <v>50</v>
      </c>
      <c r="C36" s="1">
        <v>13</v>
      </c>
      <c r="D36" s="1">
        <v>50</v>
      </c>
      <c r="E36" s="1">
        <v>10</v>
      </c>
      <c r="F36" s="1">
        <v>50</v>
      </c>
      <c r="G36" s="15">
        <v>10</v>
      </c>
    </row>
    <row r="37" spans="1:7" x14ac:dyDescent="0.25">
      <c r="A37" s="27">
        <v>34</v>
      </c>
      <c r="B37" s="1">
        <v>50</v>
      </c>
      <c r="C37" s="1">
        <v>14</v>
      </c>
      <c r="D37" s="1">
        <v>50</v>
      </c>
      <c r="E37" s="1">
        <v>10</v>
      </c>
      <c r="F37" s="1">
        <v>50</v>
      </c>
      <c r="G37" s="15">
        <v>10</v>
      </c>
    </row>
    <row r="38" spans="1:7" x14ac:dyDescent="0.25">
      <c r="A38" s="27">
        <v>35</v>
      </c>
      <c r="B38" s="1">
        <v>50</v>
      </c>
      <c r="C38" s="1">
        <v>15</v>
      </c>
      <c r="D38" s="1">
        <v>50</v>
      </c>
      <c r="E38" s="1">
        <v>10</v>
      </c>
      <c r="F38" s="1">
        <v>50</v>
      </c>
      <c r="G38" s="15">
        <v>10</v>
      </c>
    </row>
    <row r="39" spans="1:7" x14ac:dyDescent="0.25">
      <c r="A39" s="27">
        <v>36</v>
      </c>
      <c r="B39" s="1">
        <v>50</v>
      </c>
      <c r="C39" s="1">
        <v>16</v>
      </c>
      <c r="D39" s="1">
        <v>50</v>
      </c>
      <c r="E39" s="1">
        <v>10</v>
      </c>
      <c r="F39" s="1">
        <v>50</v>
      </c>
      <c r="G39" s="15">
        <v>10</v>
      </c>
    </row>
    <row r="40" spans="1:7" x14ac:dyDescent="0.25">
      <c r="A40" s="27">
        <v>37</v>
      </c>
      <c r="B40" s="1">
        <v>50</v>
      </c>
      <c r="C40" s="1">
        <v>17</v>
      </c>
      <c r="D40" s="1">
        <v>50</v>
      </c>
      <c r="E40" s="1">
        <v>10</v>
      </c>
      <c r="F40" s="1">
        <v>50</v>
      </c>
      <c r="G40" s="15">
        <v>10</v>
      </c>
    </row>
    <row r="41" spans="1:7" x14ac:dyDescent="0.25">
      <c r="A41" s="27">
        <v>38</v>
      </c>
      <c r="B41" s="1">
        <v>50</v>
      </c>
      <c r="C41" s="1">
        <v>18</v>
      </c>
      <c r="D41" s="1">
        <v>50</v>
      </c>
      <c r="E41" s="1">
        <v>10</v>
      </c>
      <c r="F41" s="1">
        <v>50</v>
      </c>
      <c r="G41" s="15">
        <v>10</v>
      </c>
    </row>
    <row r="42" spans="1:7" x14ac:dyDescent="0.25">
      <c r="A42" s="27">
        <v>39</v>
      </c>
      <c r="B42" s="1">
        <v>50</v>
      </c>
      <c r="C42" s="1">
        <v>19</v>
      </c>
      <c r="D42" s="1">
        <v>50</v>
      </c>
      <c r="E42" s="1">
        <v>10</v>
      </c>
      <c r="F42" s="1">
        <v>50</v>
      </c>
      <c r="G42" s="15">
        <v>10</v>
      </c>
    </row>
    <row r="43" spans="1:7" ht="15.75" thickBot="1" x14ac:dyDescent="0.3">
      <c r="A43" s="32">
        <v>40</v>
      </c>
      <c r="B43" s="3">
        <v>50</v>
      </c>
      <c r="C43" s="11">
        <v>20</v>
      </c>
      <c r="D43" s="3">
        <v>50</v>
      </c>
      <c r="E43" s="3">
        <v>10</v>
      </c>
      <c r="F43" s="3">
        <v>50</v>
      </c>
      <c r="G43" s="26">
        <v>10</v>
      </c>
    </row>
    <row r="44" spans="1:7" x14ac:dyDescent="0.25">
      <c r="A44" s="27">
        <v>41</v>
      </c>
      <c r="B44" s="1">
        <v>50</v>
      </c>
      <c r="C44" s="1">
        <v>20</v>
      </c>
      <c r="D44" s="1">
        <v>50</v>
      </c>
      <c r="E44" s="6">
        <v>11</v>
      </c>
      <c r="F44" s="1">
        <v>50</v>
      </c>
      <c r="G44" s="14">
        <v>10</v>
      </c>
    </row>
    <row r="45" spans="1:7" x14ac:dyDescent="0.25">
      <c r="A45" s="27">
        <v>42</v>
      </c>
      <c r="B45" s="1">
        <v>50</v>
      </c>
      <c r="C45" s="1">
        <v>20</v>
      </c>
      <c r="D45" s="1">
        <v>50</v>
      </c>
      <c r="E45" s="6">
        <v>12</v>
      </c>
      <c r="F45" s="1">
        <v>50</v>
      </c>
      <c r="G45" s="14">
        <v>10</v>
      </c>
    </row>
    <row r="46" spans="1:7" x14ac:dyDescent="0.25">
      <c r="A46" s="27">
        <v>43</v>
      </c>
      <c r="B46" s="1">
        <v>50</v>
      </c>
      <c r="C46" s="1">
        <v>20</v>
      </c>
      <c r="D46" s="1">
        <v>50</v>
      </c>
      <c r="E46" s="6">
        <v>13</v>
      </c>
      <c r="F46" s="1">
        <v>50</v>
      </c>
      <c r="G46" s="14">
        <v>10</v>
      </c>
    </row>
    <row r="47" spans="1:7" x14ac:dyDescent="0.25">
      <c r="A47" s="27">
        <v>44</v>
      </c>
      <c r="B47" s="1">
        <v>50</v>
      </c>
      <c r="C47" s="1">
        <v>20</v>
      </c>
      <c r="D47" s="1">
        <v>50</v>
      </c>
      <c r="E47" s="6">
        <v>14</v>
      </c>
      <c r="F47" s="1">
        <v>50</v>
      </c>
      <c r="G47" s="14">
        <v>10</v>
      </c>
    </row>
    <row r="48" spans="1:7" x14ac:dyDescent="0.25">
      <c r="A48" s="27">
        <v>45</v>
      </c>
      <c r="B48" s="1">
        <v>50</v>
      </c>
      <c r="C48" s="1">
        <v>20</v>
      </c>
      <c r="D48" s="1">
        <v>50</v>
      </c>
      <c r="E48" s="6">
        <v>15</v>
      </c>
      <c r="F48" s="1">
        <v>50</v>
      </c>
      <c r="G48" s="14">
        <v>10</v>
      </c>
    </row>
    <row r="49" spans="1:7" x14ac:dyDescent="0.25">
      <c r="A49" s="27">
        <v>46</v>
      </c>
      <c r="B49" s="1">
        <v>50</v>
      </c>
      <c r="C49" s="1">
        <v>20</v>
      </c>
      <c r="D49" s="1">
        <v>50</v>
      </c>
      <c r="E49" s="6">
        <v>16</v>
      </c>
      <c r="F49" s="1">
        <v>50</v>
      </c>
      <c r="G49" s="14">
        <v>10</v>
      </c>
    </row>
    <row r="50" spans="1:7" x14ac:dyDescent="0.25">
      <c r="A50" s="27">
        <v>47</v>
      </c>
      <c r="B50" s="1">
        <v>50</v>
      </c>
      <c r="C50" s="1">
        <v>20</v>
      </c>
      <c r="D50" s="1">
        <v>50</v>
      </c>
      <c r="E50" s="6">
        <v>17</v>
      </c>
      <c r="F50" s="1">
        <v>50</v>
      </c>
      <c r="G50" s="14">
        <v>10</v>
      </c>
    </row>
    <row r="51" spans="1:7" x14ac:dyDescent="0.25">
      <c r="A51" s="27">
        <v>48</v>
      </c>
      <c r="B51" s="1">
        <v>50</v>
      </c>
      <c r="C51" s="1">
        <v>20</v>
      </c>
      <c r="D51" s="1">
        <v>50</v>
      </c>
      <c r="E51" s="6">
        <v>18</v>
      </c>
      <c r="F51" s="1">
        <v>50</v>
      </c>
      <c r="G51" s="14">
        <v>10</v>
      </c>
    </row>
    <row r="52" spans="1:7" ht="15.75" thickBot="1" x14ac:dyDescent="0.3">
      <c r="A52" s="32">
        <v>49</v>
      </c>
      <c r="B52" s="3">
        <v>50</v>
      </c>
      <c r="C52" s="3">
        <v>20</v>
      </c>
      <c r="D52" s="3">
        <v>50</v>
      </c>
      <c r="E52" s="21">
        <v>19</v>
      </c>
      <c r="F52" s="3">
        <v>50</v>
      </c>
      <c r="G52" s="33">
        <v>10</v>
      </c>
    </row>
    <row r="53" spans="1:7" ht="15.75" thickBot="1" x14ac:dyDescent="0.3">
      <c r="A53" s="32">
        <v>50</v>
      </c>
      <c r="B53" s="3">
        <v>50</v>
      </c>
      <c r="C53" s="3">
        <v>20</v>
      </c>
      <c r="D53" s="3">
        <v>50</v>
      </c>
      <c r="E53" s="11">
        <v>20</v>
      </c>
      <c r="F53" s="3">
        <v>50</v>
      </c>
      <c r="G53" s="26">
        <v>10</v>
      </c>
    </row>
    <row r="54" spans="1:7" x14ac:dyDescent="0.25">
      <c r="A54" s="27">
        <v>51</v>
      </c>
      <c r="B54" s="1">
        <v>50</v>
      </c>
      <c r="C54" s="1">
        <v>20</v>
      </c>
      <c r="D54" s="1">
        <v>50</v>
      </c>
      <c r="E54" s="6">
        <v>20</v>
      </c>
      <c r="F54" s="1">
        <v>50</v>
      </c>
      <c r="G54" s="15">
        <v>11</v>
      </c>
    </row>
    <row r="55" spans="1:7" x14ac:dyDescent="0.25">
      <c r="A55" s="27">
        <v>52</v>
      </c>
      <c r="B55" s="1">
        <v>50</v>
      </c>
      <c r="C55" s="1">
        <v>20</v>
      </c>
      <c r="D55" s="1">
        <v>50</v>
      </c>
      <c r="E55" s="6">
        <v>20</v>
      </c>
      <c r="F55" s="1">
        <v>50</v>
      </c>
      <c r="G55" s="15">
        <v>12</v>
      </c>
    </row>
    <row r="56" spans="1:7" x14ac:dyDescent="0.25">
      <c r="A56" s="27">
        <v>53</v>
      </c>
      <c r="B56" s="1">
        <v>50</v>
      </c>
      <c r="C56" s="1">
        <v>20</v>
      </c>
      <c r="D56" s="1">
        <v>50</v>
      </c>
      <c r="E56" s="6">
        <v>20</v>
      </c>
      <c r="F56" s="1">
        <v>50</v>
      </c>
      <c r="G56" s="15">
        <v>13</v>
      </c>
    </row>
    <row r="57" spans="1:7" x14ac:dyDescent="0.25">
      <c r="A57" s="27">
        <v>54</v>
      </c>
      <c r="B57" s="1">
        <v>50</v>
      </c>
      <c r="C57" s="1">
        <v>20</v>
      </c>
      <c r="D57" s="1">
        <v>50</v>
      </c>
      <c r="E57" s="6">
        <v>20</v>
      </c>
      <c r="F57" s="1">
        <v>50</v>
      </c>
      <c r="G57" s="15">
        <v>14</v>
      </c>
    </row>
    <row r="58" spans="1:7" x14ac:dyDescent="0.25">
      <c r="A58" s="27">
        <v>55</v>
      </c>
      <c r="B58" s="1">
        <v>50</v>
      </c>
      <c r="C58" s="1">
        <v>20</v>
      </c>
      <c r="D58" s="1">
        <v>50</v>
      </c>
      <c r="E58" s="6">
        <v>20</v>
      </c>
      <c r="F58" s="1">
        <v>50</v>
      </c>
      <c r="G58" s="15">
        <v>15</v>
      </c>
    </row>
    <row r="59" spans="1:7" x14ac:dyDescent="0.25">
      <c r="A59" s="27">
        <v>56</v>
      </c>
      <c r="B59" s="1">
        <v>50</v>
      </c>
      <c r="C59" s="1">
        <v>20</v>
      </c>
      <c r="D59" s="1">
        <v>50</v>
      </c>
      <c r="E59" s="6">
        <v>20</v>
      </c>
      <c r="F59" s="1">
        <v>50</v>
      </c>
      <c r="G59" s="15">
        <v>16</v>
      </c>
    </row>
    <row r="60" spans="1:7" x14ac:dyDescent="0.25">
      <c r="A60" s="27">
        <v>57</v>
      </c>
      <c r="B60" s="1">
        <v>50</v>
      </c>
      <c r="C60" s="1">
        <v>20</v>
      </c>
      <c r="D60" s="1">
        <v>50</v>
      </c>
      <c r="E60" s="6">
        <v>20</v>
      </c>
      <c r="F60" s="1">
        <v>50</v>
      </c>
      <c r="G60" s="15">
        <v>17</v>
      </c>
    </row>
    <row r="61" spans="1:7" x14ac:dyDescent="0.25">
      <c r="A61" s="27">
        <v>58</v>
      </c>
      <c r="B61" s="1">
        <v>50</v>
      </c>
      <c r="C61" s="1">
        <v>20</v>
      </c>
      <c r="D61" s="1">
        <v>50</v>
      </c>
      <c r="E61" s="6">
        <v>20</v>
      </c>
      <c r="F61" s="1">
        <v>50</v>
      </c>
      <c r="G61" s="15">
        <v>18</v>
      </c>
    </row>
    <row r="62" spans="1:7" ht="15.75" thickBot="1" x14ac:dyDescent="0.3">
      <c r="A62" s="32">
        <v>59</v>
      </c>
      <c r="B62" s="3">
        <v>50</v>
      </c>
      <c r="C62" s="3">
        <v>20</v>
      </c>
      <c r="D62" s="3">
        <v>50</v>
      </c>
      <c r="E62" s="21">
        <v>20</v>
      </c>
      <c r="F62" s="3">
        <v>50</v>
      </c>
      <c r="G62" s="26">
        <v>19</v>
      </c>
    </row>
    <row r="63" spans="1:7" ht="15.75" thickBot="1" x14ac:dyDescent="0.3">
      <c r="A63" s="32">
        <v>60</v>
      </c>
      <c r="B63" s="3">
        <v>50</v>
      </c>
      <c r="C63" s="3">
        <v>20</v>
      </c>
      <c r="D63" s="3">
        <v>50</v>
      </c>
      <c r="E63" s="3">
        <v>20</v>
      </c>
      <c r="F63" s="3">
        <v>50</v>
      </c>
      <c r="G63" s="34">
        <v>20</v>
      </c>
    </row>
    <row r="64" spans="1:7" x14ac:dyDescent="0.25">
      <c r="A64" s="27">
        <v>61</v>
      </c>
      <c r="B64" s="1">
        <v>50</v>
      </c>
      <c r="C64" s="1">
        <v>21</v>
      </c>
      <c r="D64" s="1">
        <v>50</v>
      </c>
      <c r="E64" s="1">
        <v>20</v>
      </c>
      <c r="F64" s="1">
        <v>50</v>
      </c>
      <c r="G64" s="15">
        <v>20</v>
      </c>
    </row>
    <row r="65" spans="1:7" x14ac:dyDescent="0.25">
      <c r="A65" s="27">
        <v>62</v>
      </c>
      <c r="B65" s="1">
        <v>50</v>
      </c>
      <c r="C65" s="1">
        <v>22</v>
      </c>
      <c r="D65" s="1">
        <v>50</v>
      </c>
      <c r="E65" s="1">
        <v>20</v>
      </c>
      <c r="F65" s="1">
        <v>50</v>
      </c>
      <c r="G65" s="15">
        <v>20</v>
      </c>
    </row>
    <row r="66" spans="1:7" x14ac:dyDescent="0.25">
      <c r="A66" s="27">
        <v>63</v>
      </c>
      <c r="B66" s="1">
        <v>50</v>
      </c>
      <c r="C66" s="1">
        <v>23</v>
      </c>
      <c r="D66" s="1">
        <v>50</v>
      </c>
      <c r="E66" s="1">
        <v>20</v>
      </c>
      <c r="F66" s="1">
        <v>50</v>
      </c>
      <c r="G66" s="15">
        <v>20</v>
      </c>
    </row>
    <row r="67" spans="1:7" x14ac:dyDescent="0.25">
      <c r="A67" s="27">
        <v>64</v>
      </c>
      <c r="B67" s="1">
        <v>50</v>
      </c>
      <c r="C67" s="1">
        <v>24</v>
      </c>
      <c r="D67" s="1">
        <v>50</v>
      </c>
      <c r="E67" s="1">
        <v>20</v>
      </c>
      <c r="F67" s="1">
        <v>50</v>
      </c>
      <c r="G67" s="15">
        <v>20</v>
      </c>
    </row>
    <row r="68" spans="1:7" x14ac:dyDescent="0.25">
      <c r="A68" s="27">
        <v>65</v>
      </c>
      <c r="B68" s="1">
        <v>50</v>
      </c>
      <c r="C68" s="1">
        <v>25</v>
      </c>
      <c r="D68" s="1">
        <v>50</v>
      </c>
      <c r="E68" s="1">
        <v>20</v>
      </c>
      <c r="F68" s="1">
        <v>50</v>
      </c>
      <c r="G68" s="15">
        <v>20</v>
      </c>
    </row>
    <row r="69" spans="1:7" x14ac:dyDescent="0.25">
      <c r="A69" s="27">
        <v>66</v>
      </c>
      <c r="B69" s="1">
        <v>50</v>
      </c>
      <c r="C69" s="1">
        <v>26</v>
      </c>
      <c r="D69" s="1">
        <v>50</v>
      </c>
      <c r="E69" s="1">
        <v>20</v>
      </c>
      <c r="F69" s="1">
        <v>50</v>
      </c>
      <c r="G69" s="15">
        <v>20</v>
      </c>
    </row>
    <row r="70" spans="1:7" x14ac:dyDescent="0.25">
      <c r="A70" s="27">
        <v>67</v>
      </c>
      <c r="B70" s="1">
        <v>50</v>
      </c>
      <c r="C70" s="1">
        <v>27</v>
      </c>
      <c r="D70" s="1">
        <v>50</v>
      </c>
      <c r="E70" s="1">
        <v>20</v>
      </c>
      <c r="F70" s="1">
        <v>50</v>
      </c>
      <c r="G70" s="15">
        <v>20</v>
      </c>
    </row>
    <row r="71" spans="1:7" x14ac:dyDescent="0.25">
      <c r="A71" s="27">
        <v>68</v>
      </c>
      <c r="B71" s="1">
        <v>50</v>
      </c>
      <c r="C71" s="1">
        <v>28</v>
      </c>
      <c r="D71" s="1">
        <v>50</v>
      </c>
      <c r="E71" s="1">
        <v>20</v>
      </c>
      <c r="F71" s="1">
        <v>50</v>
      </c>
      <c r="G71" s="15">
        <v>20</v>
      </c>
    </row>
    <row r="72" spans="1:7" x14ac:dyDescent="0.25">
      <c r="A72" s="27">
        <v>69</v>
      </c>
      <c r="B72" s="1">
        <v>50</v>
      </c>
      <c r="C72" s="1">
        <v>29</v>
      </c>
      <c r="D72" s="1">
        <v>50</v>
      </c>
      <c r="E72" s="1">
        <v>20</v>
      </c>
      <c r="F72" s="1">
        <v>50</v>
      </c>
      <c r="G72" s="15">
        <v>20</v>
      </c>
    </row>
    <row r="73" spans="1:7" x14ac:dyDescent="0.25">
      <c r="A73" s="27">
        <v>70</v>
      </c>
      <c r="B73" s="1">
        <v>50</v>
      </c>
      <c r="C73" s="1">
        <v>30</v>
      </c>
      <c r="D73" s="1">
        <v>50</v>
      </c>
      <c r="E73" s="1">
        <v>20</v>
      </c>
      <c r="F73" s="1">
        <v>50</v>
      </c>
      <c r="G73" s="15">
        <v>20</v>
      </c>
    </row>
    <row r="74" spans="1:7" x14ac:dyDescent="0.25">
      <c r="A74" s="27">
        <v>71</v>
      </c>
      <c r="B74" s="1">
        <v>50</v>
      </c>
      <c r="C74" s="1">
        <v>30</v>
      </c>
      <c r="D74" s="1">
        <v>50</v>
      </c>
      <c r="E74" s="1">
        <v>21</v>
      </c>
      <c r="F74" s="1">
        <v>50</v>
      </c>
      <c r="G74" s="15">
        <v>20</v>
      </c>
    </row>
    <row r="75" spans="1:7" x14ac:dyDescent="0.25">
      <c r="A75" s="27">
        <v>72</v>
      </c>
      <c r="B75" s="1">
        <v>50</v>
      </c>
      <c r="C75" s="1">
        <v>30</v>
      </c>
      <c r="D75" s="1">
        <v>50</v>
      </c>
      <c r="E75" s="1">
        <v>22</v>
      </c>
      <c r="F75" s="1">
        <v>50</v>
      </c>
      <c r="G75" s="15">
        <v>20</v>
      </c>
    </row>
    <row r="76" spans="1:7" x14ac:dyDescent="0.25">
      <c r="A76" s="27">
        <v>73</v>
      </c>
      <c r="B76" s="1">
        <v>50</v>
      </c>
      <c r="C76" s="1">
        <v>30</v>
      </c>
      <c r="D76" s="1">
        <v>50</v>
      </c>
      <c r="E76" s="1">
        <v>23</v>
      </c>
      <c r="F76" s="1">
        <v>50</v>
      </c>
      <c r="G76" s="15">
        <v>20</v>
      </c>
    </row>
    <row r="77" spans="1:7" x14ac:dyDescent="0.25">
      <c r="A77" s="27">
        <v>74</v>
      </c>
      <c r="B77" s="1">
        <v>50</v>
      </c>
      <c r="C77" s="1">
        <v>30</v>
      </c>
      <c r="D77" s="1">
        <v>50</v>
      </c>
      <c r="E77" s="1">
        <v>24</v>
      </c>
      <c r="F77" s="1">
        <v>50</v>
      </c>
      <c r="G77" s="15">
        <v>20</v>
      </c>
    </row>
    <row r="78" spans="1:7" x14ac:dyDescent="0.25">
      <c r="A78" s="27">
        <v>75</v>
      </c>
      <c r="B78" s="1">
        <v>50</v>
      </c>
      <c r="C78" s="1">
        <v>30</v>
      </c>
      <c r="D78" s="1">
        <v>50</v>
      </c>
      <c r="E78" s="1">
        <v>25</v>
      </c>
      <c r="F78" s="1">
        <v>50</v>
      </c>
      <c r="G78" s="15">
        <v>20</v>
      </c>
    </row>
    <row r="79" spans="1:7" x14ac:dyDescent="0.25">
      <c r="A79" s="27">
        <v>76</v>
      </c>
      <c r="B79" s="1">
        <v>50</v>
      </c>
      <c r="C79" s="1">
        <v>30</v>
      </c>
      <c r="D79" s="1">
        <v>50</v>
      </c>
      <c r="E79" s="1">
        <v>26</v>
      </c>
      <c r="F79" s="1">
        <v>50</v>
      </c>
      <c r="G79" s="15">
        <v>20</v>
      </c>
    </row>
    <row r="80" spans="1:7" x14ac:dyDescent="0.25">
      <c r="A80" s="27">
        <v>77</v>
      </c>
      <c r="B80" s="1">
        <v>50</v>
      </c>
      <c r="C80" s="1">
        <v>30</v>
      </c>
      <c r="D80" s="1">
        <v>50</v>
      </c>
      <c r="E80" s="1">
        <v>27</v>
      </c>
      <c r="F80" s="1">
        <v>50</v>
      </c>
      <c r="G80" s="15">
        <v>20</v>
      </c>
    </row>
    <row r="81" spans="1:9" x14ac:dyDescent="0.25">
      <c r="A81" s="27">
        <v>78</v>
      </c>
      <c r="B81" s="1">
        <v>50</v>
      </c>
      <c r="C81" s="1">
        <v>30</v>
      </c>
      <c r="D81" s="1">
        <v>50</v>
      </c>
      <c r="E81" s="1">
        <v>28</v>
      </c>
      <c r="F81" s="1">
        <v>50</v>
      </c>
      <c r="G81" s="15">
        <v>20</v>
      </c>
    </row>
    <row r="82" spans="1:9" ht="15.75" thickBot="1" x14ac:dyDescent="0.3">
      <c r="A82" s="32">
        <v>79</v>
      </c>
      <c r="B82" s="3">
        <v>50</v>
      </c>
      <c r="C82" s="3">
        <v>30</v>
      </c>
      <c r="D82" s="3">
        <v>50</v>
      </c>
      <c r="E82" s="3">
        <v>29</v>
      </c>
      <c r="F82" s="3">
        <v>50</v>
      </c>
      <c r="G82" s="26">
        <v>20</v>
      </c>
    </row>
    <row r="83" spans="1:9" ht="15.75" thickBot="1" x14ac:dyDescent="0.3">
      <c r="A83" s="32">
        <v>80</v>
      </c>
      <c r="B83" s="3">
        <v>50</v>
      </c>
      <c r="C83" s="3">
        <v>30</v>
      </c>
      <c r="D83" s="3">
        <v>50</v>
      </c>
      <c r="E83" s="11">
        <v>30</v>
      </c>
      <c r="F83" s="3">
        <v>50</v>
      </c>
      <c r="G83" s="26">
        <v>20</v>
      </c>
    </row>
    <row r="84" spans="1:9" x14ac:dyDescent="0.25">
      <c r="A84" s="27">
        <v>81</v>
      </c>
      <c r="B84" s="1">
        <v>50</v>
      </c>
      <c r="C84" s="1">
        <v>30</v>
      </c>
      <c r="D84" s="1">
        <v>50</v>
      </c>
      <c r="E84" s="1">
        <v>30</v>
      </c>
      <c r="F84" s="1">
        <v>50</v>
      </c>
      <c r="G84" s="15">
        <v>21</v>
      </c>
    </row>
    <row r="85" spans="1:9" x14ac:dyDescent="0.25">
      <c r="A85" s="27">
        <v>82</v>
      </c>
      <c r="B85" s="1">
        <v>50</v>
      </c>
      <c r="C85" s="1">
        <v>30</v>
      </c>
      <c r="D85" s="1">
        <v>50</v>
      </c>
      <c r="E85" s="1">
        <v>30</v>
      </c>
      <c r="F85" s="1">
        <v>50</v>
      </c>
      <c r="G85" s="15">
        <v>22</v>
      </c>
    </row>
    <row r="86" spans="1:9" x14ac:dyDescent="0.25">
      <c r="A86" s="27">
        <v>83</v>
      </c>
      <c r="B86" s="1">
        <v>50</v>
      </c>
      <c r="C86" s="1">
        <v>30</v>
      </c>
      <c r="D86" s="1">
        <v>50</v>
      </c>
      <c r="E86" s="1">
        <v>30</v>
      </c>
      <c r="F86" s="1">
        <v>50</v>
      </c>
      <c r="G86" s="15">
        <v>23</v>
      </c>
    </row>
    <row r="87" spans="1:9" x14ac:dyDescent="0.25">
      <c r="A87" s="27">
        <v>84</v>
      </c>
      <c r="B87" s="1">
        <v>50</v>
      </c>
      <c r="C87" s="1">
        <v>30</v>
      </c>
      <c r="D87" s="1">
        <v>50</v>
      </c>
      <c r="E87" s="1">
        <v>30</v>
      </c>
      <c r="F87" s="1">
        <v>50</v>
      </c>
      <c r="G87" s="15">
        <v>24</v>
      </c>
    </row>
    <row r="88" spans="1:9" x14ac:dyDescent="0.25">
      <c r="A88" s="27">
        <v>85</v>
      </c>
      <c r="B88" s="1">
        <v>50</v>
      </c>
      <c r="C88" s="1">
        <v>30</v>
      </c>
      <c r="D88" s="1">
        <v>50</v>
      </c>
      <c r="E88" s="1">
        <v>30</v>
      </c>
      <c r="F88" s="1">
        <v>50</v>
      </c>
      <c r="G88" s="15">
        <v>25</v>
      </c>
    </row>
    <row r="89" spans="1:9" x14ac:dyDescent="0.25">
      <c r="A89" s="27">
        <v>86</v>
      </c>
      <c r="B89" s="1">
        <v>50</v>
      </c>
      <c r="C89" s="1">
        <v>30</v>
      </c>
      <c r="D89" s="1">
        <v>50</v>
      </c>
      <c r="E89" s="1">
        <v>30</v>
      </c>
      <c r="F89" s="1">
        <v>50</v>
      </c>
      <c r="G89" s="15">
        <v>26</v>
      </c>
    </row>
    <row r="90" spans="1:9" x14ac:dyDescent="0.25">
      <c r="A90" s="27">
        <v>87</v>
      </c>
      <c r="B90" s="1">
        <v>50</v>
      </c>
      <c r="C90" s="1">
        <v>30</v>
      </c>
      <c r="D90" s="1">
        <v>50</v>
      </c>
      <c r="E90" s="1">
        <v>30</v>
      </c>
      <c r="F90" s="1">
        <v>50</v>
      </c>
      <c r="G90" s="15">
        <v>27</v>
      </c>
    </row>
    <row r="91" spans="1:9" x14ac:dyDescent="0.25">
      <c r="A91" s="27">
        <v>88</v>
      </c>
      <c r="B91" s="1">
        <v>50</v>
      </c>
      <c r="C91" s="1">
        <v>30</v>
      </c>
      <c r="D91" s="1">
        <v>50</v>
      </c>
      <c r="E91" s="1">
        <v>30</v>
      </c>
      <c r="F91" s="1">
        <v>50</v>
      </c>
      <c r="G91" s="15">
        <v>28</v>
      </c>
    </row>
    <row r="92" spans="1:9" ht="15.75" thickBot="1" x14ac:dyDescent="0.3">
      <c r="A92" s="32">
        <v>89</v>
      </c>
      <c r="B92" s="3">
        <v>50</v>
      </c>
      <c r="C92" s="3">
        <v>30</v>
      </c>
      <c r="D92" s="3">
        <v>50</v>
      </c>
      <c r="E92" s="3">
        <v>30</v>
      </c>
      <c r="F92" s="3">
        <v>50</v>
      </c>
      <c r="G92" s="26">
        <v>29</v>
      </c>
    </row>
    <row r="93" spans="1:9" ht="15.75" thickBot="1" x14ac:dyDescent="0.3">
      <c r="A93" s="32">
        <v>90</v>
      </c>
      <c r="B93" s="3">
        <v>50</v>
      </c>
      <c r="C93" s="3">
        <v>30</v>
      </c>
      <c r="D93" s="3">
        <v>50</v>
      </c>
      <c r="E93" s="3">
        <v>30</v>
      </c>
      <c r="F93" s="3">
        <v>50</v>
      </c>
      <c r="G93" s="34">
        <v>30</v>
      </c>
      <c r="H93" t="s">
        <v>12</v>
      </c>
      <c r="I93" t="s">
        <v>2</v>
      </c>
    </row>
    <row r="94" spans="1:9" x14ac:dyDescent="0.25">
      <c r="A94" s="27">
        <v>91</v>
      </c>
      <c r="B94" s="1">
        <v>50</v>
      </c>
      <c r="C94" s="1">
        <v>31</v>
      </c>
      <c r="D94" s="1">
        <v>50</v>
      </c>
      <c r="E94" s="1">
        <v>30</v>
      </c>
      <c r="F94" s="1">
        <v>50</v>
      </c>
      <c r="G94" s="15">
        <v>30</v>
      </c>
    </row>
    <row r="95" spans="1:9" x14ac:dyDescent="0.25">
      <c r="A95" s="27">
        <v>92</v>
      </c>
      <c r="B95" s="1">
        <v>50</v>
      </c>
      <c r="C95" s="1">
        <v>32</v>
      </c>
      <c r="D95" s="1">
        <v>50</v>
      </c>
      <c r="E95" s="1">
        <v>30</v>
      </c>
      <c r="F95" s="1">
        <v>50</v>
      </c>
      <c r="G95" s="15">
        <v>30</v>
      </c>
    </row>
    <row r="96" spans="1:9" x14ac:dyDescent="0.25">
      <c r="A96" s="27">
        <v>93</v>
      </c>
      <c r="B96" s="1">
        <v>50</v>
      </c>
      <c r="C96" s="1">
        <v>33</v>
      </c>
      <c r="D96" s="1">
        <v>50</v>
      </c>
      <c r="E96" s="1">
        <v>30</v>
      </c>
      <c r="F96" s="1">
        <v>50</v>
      </c>
      <c r="G96" s="15">
        <v>30</v>
      </c>
    </row>
    <row r="97" spans="1:9" x14ac:dyDescent="0.25">
      <c r="A97" s="27">
        <v>94</v>
      </c>
      <c r="B97" s="1">
        <v>50</v>
      </c>
      <c r="C97" s="1">
        <v>34</v>
      </c>
      <c r="D97" s="1">
        <v>50</v>
      </c>
      <c r="E97" s="1">
        <v>30</v>
      </c>
      <c r="F97" s="1">
        <v>50</v>
      </c>
      <c r="G97" s="15">
        <v>30</v>
      </c>
    </row>
    <row r="98" spans="1:9" x14ac:dyDescent="0.25">
      <c r="A98" s="27">
        <v>95</v>
      </c>
      <c r="B98" s="1">
        <v>50</v>
      </c>
      <c r="C98" s="1">
        <v>35</v>
      </c>
      <c r="D98" s="1">
        <v>50</v>
      </c>
      <c r="E98" s="1">
        <v>30</v>
      </c>
      <c r="F98" s="1">
        <v>50</v>
      </c>
      <c r="G98" s="15">
        <v>30</v>
      </c>
    </row>
    <row r="99" spans="1:9" x14ac:dyDescent="0.25">
      <c r="A99" s="27">
        <v>96</v>
      </c>
      <c r="B99" s="1">
        <v>50</v>
      </c>
      <c r="C99" s="1">
        <v>36</v>
      </c>
      <c r="D99" s="1">
        <v>50</v>
      </c>
      <c r="E99" s="1">
        <v>30</v>
      </c>
      <c r="F99" s="1">
        <v>50</v>
      </c>
      <c r="G99" s="15">
        <v>30</v>
      </c>
    </row>
    <row r="100" spans="1:9" x14ac:dyDescent="0.25">
      <c r="A100" s="27">
        <v>97</v>
      </c>
      <c r="B100" s="1">
        <v>50</v>
      </c>
      <c r="C100" s="1">
        <v>37</v>
      </c>
      <c r="D100" s="1">
        <v>50</v>
      </c>
      <c r="E100" s="1">
        <v>30</v>
      </c>
      <c r="F100" s="1">
        <v>50</v>
      </c>
      <c r="G100" s="15">
        <v>30</v>
      </c>
    </row>
    <row r="101" spans="1:9" x14ac:dyDescent="0.25">
      <c r="A101" s="27">
        <v>98</v>
      </c>
      <c r="B101" s="1">
        <v>50</v>
      </c>
      <c r="C101" s="1">
        <v>38</v>
      </c>
      <c r="D101" s="1">
        <v>50</v>
      </c>
      <c r="E101" s="1">
        <v>30</v>
      </c>
      <c r="F101" s="1">
        <v>50</v>
      </c>
      <c r="G101" s="15">
        <v>30</v>
      </c>
    </row>
    <row r="102" spans="1:9" ht="15.75" thickBot="1" x14ac:dyDescent="0.3">
      <c r="A102" s="32">
        <v>99</v>
      </c>
      <c r="B102" s="3">
        <v>50</v>
      </c>
      <c r="C102" s="11">
        <v>39</v>
      </c>
      <c r="D102" s="3">
        <v>50</v>
      </c>
      <c r="E102" s="3">
        <v>30</v>
      </c>
      <c r="F102" s="3">
        <v>50</v>
      </c>
      <c r="G102" s="26">
        <v>30</v>
      </c>
      <c r="H102" t="s">
        <v>2</v>
      </c>
      <c r="I102" t="s">
        <v>2</v>
      </c>
    </row>
    <row r="103" spans="1:9" x14ac:dyDescent="0.25">
      <c r="A103" s="30">
        <v>100</v>
      </c>
      <c r="B103" s="16">
        <v>50</v>
      </c>
      <c r="C103" s="18">
        <v>40</v>
      </c>
      <c r="D103" s="16">
        <v>50</v>
      </c>
      <c r="E103" s="16">
        <v>30</v>
      </c>
      <c r="F103" s="16">
        <v>50</v>
      </c>
      <c r="G103" s="19">
        <v>30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P32" sqref="P32"/>
    </sheetView>
  </sheetViews>
  <sheetFormatPr defaultRowHeight="15" x14ac:dyDescent="0.25"/>
  <sheetData>
    <row r="1" spans="1:12" x14ac:dyDescent="0.25">
      <c r="B1" s="139" t="s">
        <v>21</v>
      </c>
      <c r="C1" s="139"/>
      <c r="D1" s="139"/>
      <c r="F1" s="139" t="s">
        <v>22</v>
      </c>
      <c r="G1" s="139"/>
      <c r="H1" s="139"/>
      <c r="J1" s="138" t="s">
        <v>23</v>
      </c>
      <c r="K1" s="138"/>
      <c r="L1" s="138"/>
    </row>
    <row r="2" spans="1:12" x14ac:dyDescent="0.25">
      <c r="B2" t="s">
        <v>18</v>
      </c>
      <c r="C2" t="s">
        <v>19</v>
      </c>
      <c r="D2" t="s">
        <v>20</v>
      </c>
      <c r="F2" t="s">
        <v>18</v>
      </c>
      <c r="G2" t="s">
        <v>19</v>
      </c>
      <c r="H2" t="s">
        <v>20</v>
      </c>
      <c r="J2" s="35" t="s">
        <v>18</v>
      </c>
      <c r="K2" s="35" t="s">
        <v>19</v>
      </c>
      <c r="L2" s="35" t="s">
        <v>20</v>
      </c>
    </row>
    <row r="3" spans="1:12" x14ac:dyDescent="0.25">
      <c r="A3" t="s">
        <v>13</v>
      </c>
      <c r="B3">
        <v>7</v>
      </c>
      <c r="C3">
        <v>5</v>
      </c>
      <c r="D3">
        <v>3</v>
      </c>
      <c r="F3">
        <v>0</v>
      </c>
      <c r="G3">
        <v>1</v>
      </c>
      <c r="H3">
        <v>0</v>
      </c>
      <c r="J3" s="35">
        <v>7</v>
      </c>
      <c r="K3" s="35">
        <v>4</v>
      </c>
      <c r="L3" s="35">
        <v>3</v>
      </c>
    </row>
    <row r="4" spans="1:12" x14ac:dyDescent="0.25">
      <c r="A4" t="s">
        <v>14</v>
      </c>
      <c r="B4">
        <v>3</v>
      </c>
      <c r="C4">
        <v>2</v>
      </c>
      <c r="D4">
        <v>2</v>
      </c>
      <c r="F4">
        <v>3</v>
      </c>
      <c r="G4">
        <v>0</v>
      </c>
      <c r="H4">
        <v>2</v>
      </c>
      <c r="J4" s="35">
        <v>0</v>
      </c>
      <c r="K4" s="35">
        <v>2</v>
      </c>
      <c r="L4" s="35">
        <v>0</v>
      </c>
    </row>
    <row r="5" spans="1:12" x14ac:dyDescent="0.25">
      <c r="A5" t="s">
        <v>15</v>
      </c>
      <c r="B5">
        <v>9</v>
      </c>
      <c r="C5">
        <v>0</v>
      </c>
      <c r="D5">
        <v>2</v>
      </c>
      <c r="F5">
        <v>3</v>
      </c>
      <c r="G5">
        <v>0</v>
      </c>
      <c r="H5">
        <v>2</v>
      </c>
      <c r="J5" s="35">
        <v>6</v>
      </c>
      <c r="K5" s="35">
        <v>0</v>
      </c>
      <c r="L5" s="35">
        <v>0</v>
      </c>
    </row>
    <row r="6" spans="1:12" x14ac:dyDescent="0.25">
      <c r="A6" t="s">
        <v>16</v>
      </c>
      <c r="B6">
        <v>2</v>
      </c>
      <c r="C6">
        <v>2</v>
      </c>
      <c r="D6">
        <v>2</v>
      </c>
      <c r="F6">
        <v>2</v>
      </c>
      <c r="G6">
        <v>1</v>
      </c>
      <c r="H6">
        <v>1</v>
      </c>
      <c r="J6" s="35">
        <v>0</v>
      </c>
      <c r="K6" s="35">
        <v>1</v>
      </c>
      <c r="L6" s="35">
        <v>1</v>
      </c>
    </row>
    <row r="7" spans="1:12" x14ac:dyDescent="0.25">
      <c r="A7" t="s">
        <v>17</v>
      </c>
      <c r="B7">
        <v>4</v>
      </c>
      <c r="C7">
        <v>3</v>
      </c>
      <c r="D7">
        <v>3</v>
      </c>
      <c r="F7">
        <v>0</v>
      </c>
      <c r="G7">
        <v>0</v>
      </c>
      <c r="H7">
        <v>2</v>
      </c>
      <c r="J7" s="35">
        <v>4</v>
      </c>
      <c r="K7" s="35">
        <v>3</v>
      </c>
      <c r="L7" s="35">
        <v>1</v>
      </c>
    </row>
    <row r="9" spans="1:12" x14ac:dyDescent="0.25">
      <c r="F9" t="s">
        <v>24</v>
      </c>
      <c r="H9">
        <v>10</v>
      </c>
      <c r="I9">
        <v>5</v>
      </c>
      <c r="J9">
        <v>7</v>
      </c>
    </row>
    <row r="11" spans="1:12" x14ac:dyDescent="0.25">
      <c r="F11" s="138" t="s">
        <v>22</v>
      </c>
      <c r="G11" s="138"/>
      <c r="H11" s="138"/>
    </row>
    <row r="12" spans="1:12" x14ac:dyDescent="0.25">
      <c r="F12" s="35" t="s">
        <v>18</v>
      </c>
      <c r="G12" s="35" t="s">
        <v>19</v>
      </c>
      <c r="H12" s="35" t="s">
        <v>20</v>
      </c>
    </row>
    <row r="13" spans="1:12" x14ac:dyDescent="0.25">
      <c r="F13" s="35">
        <v>0</v>
      </c>
      <c r="G13" s="35">
        <v>1</v>
      </c>
      <c r="H13" s="35">
        <v>0</v>
      </c>
      <c r="I13" t="s">
        <v>18</v>
      </c>
      <c r="J13">
        <f>H9-F18</f>
        <v>2</v>
      </c>
    </row>
    <row r="14" spans="1:12" x14ac:dyDescent="0.25">
      <c r="F14" s="35">
        <v>3</v>
      </c>
      <c r="G14" s="35">
        <v>0</v>
      </c>
      <c r="H14" s="35">
        <v>2</v>
      </c>
      <c r="I14" t="s">
        <v>19</v>
      </c>
      <c r="J14">
        <f>I9-G18</f>
        <v>3</v>
      </c>
    </row>
    <row r="15" spans="1:12" x14ac:dyDescent="0.25">
      <c r="F15" s="35">
        <v>3</v>
      </c>
      <c r="G15" s="35">
        <v>0</v>
      </c>
      <c r="H15" s="35">
        <v>2</v>
      </c>
      <c r="I15" t="s">
        <v>20</v>
      </c>
      <c r="J15">
        <f>J9-H18</f>
        <v>0</v>
      </c>
    </row>
    <row r="16" spans="1:12" x14ac:dyDescent="0.25">
      <c r="F16" s="35">
        <v>2</v>
      </c>
      <c r="G16" s="35">
        <v>1</v>
      </c>
      <c r="H16" s="35">
        <v>1</v>
      </c>
    </row>
    <row r="17" spans="5:14" ht="15.75" thickBot="1" x14ac:dyDescent="0.3">
      <c r="F17" s="36">
        <v>0</v>
      </c>
      <c r="G17" s="36">
        <v>0</v>
      </c>
      <c r="H17" s="36">
        <v>2</v>
      </c>
    </row>
    <row r="18" spans="5:14" x14ac:dyDescent="0.25">
      <c r="F18" s="37">
        <f>SUM(F13:F17)</f>
        <v>8</v>
      </c>
      <c r="G18" s="37">
        <f t="shared" ref="G18:H18" si="0">SUM(G13:G17)</f>
        <v>2</v>
      </c>
      <c r="H18" s="37">
        <f t="shared" si="0"/>
        <v>7</v>
      </c>
    </row>
    <row r="20" spans="5:14" x14ac:dyDescent="0.25">
      <c r="F20" s="138" t="s">
        <v>22</v>
      </c>
      <c r="G20" s="138"/>
      <c r="H20" s="138"/>
      <c r="J20" s="138" t="s">
        <v>23</v>
      </c>
      <c r="K20" s="138"/>
      <c r="L20" s="138"/>
    </row>
    <row r="21" spans="5:14" x14ac:dyDescent="0.25">
      <c r="F21" s="35" t="s">
        <v>18</v>
      </c>
      <c r="G21" s="35" t="s">
        <v>19</v>
      </c>
      <c r="H21" s="35" t="s">
        <v>20</v>
      </c>
      <c r="J21" s="35" t="s">
        <v>18</v>
      </c>
      <c r="K21" s="35" t="s">
        <v>19</v>
      </c>
      <c r="L21" s="35" t="s">
        <v>20</v>
      </c>
    </row>
    <row r="22" spans="5:14" x14ac:dyDescent="0.25">
      <c r="E22" t="s">
        <v>26</v>
      </c>
      <c r="F22" s="35">
        <v>0</v>
      </c>
      <c r="G22" s="35">
        <v>1</v>
      </c>
      <c r="H22" s="35">
        <v>0</v>
      </c>
      <c r="J22" s="35">
        <v>7</v>
      </c>
      <c r="K22" s="35">
        <v>4</v>
      </c>
      <c r="L22" s="35">
        <v>3</v>
      </c>
      <c r="M22" t="s">
        <v>25</v>
      </c>
      <c r="N22">
        <v>5</v>
      </c>
    </row>
    <row r="23" spans="5:14" x14ac:dyDescent="0.25">
      <c r="E23" t="s">
        <v>27</v>
      </c>
      <c r="F23" s="35">
        <v>3</v>
      </c>
      <c r="G23" s="35">
        <v>0</v>
      </c>
      <c r="H23" s="35">
        <v>2</v>
      </c>
      <c r="J23" s="35">
        <v>0</v>
      </c>
      <c r="K23" s="35">
        <v>2</v>
      </c>
      <c r="L23" s="35">
        <v>0</v>
      </c>
      <c r="N23">
        <v>3</v>
      </c>
    </row>
    <row r="24" spans="5:14" x14ac:dyDescent="0.25">
      <c r="E24" t="s">
        <v>28</v>
      </c>
      <c r="F24" s="35">
        <v>3</v>
      </c>
      <c r="G24" s="35">
        <v>0</v>
      </c>
      <c r="H24" s="35">
        <v>2</v>
      </c>
      <c r="J24" s="35">
        <v>6</v>
      </c>
      <c r="K24" s="35">
        <v>0</v>
      </c>
      <c r="L24" s="35">
        <v>0</v>
      </c>
      <c r="N24">
        <v>2</v>
      </c>
    </row>
    <row r="25" spans="5:14" x14ac:dyDescent="0.25">
      <c r="E25" t="s">
        <v>29</v>
      </c>
      <c r="F25" s="35">
        <v>2</v>
      </c>
      <c r="G25" s="35">
        <v>1</v>
      </c>
      <c r="H25" s="35">
        <v>1</v>
      </c>
      <c r="J25" s="35">
        <v>0</v>
      </c>
      <c r="K25" s="35">
        <v>1</v>
      </c>
      <c r="L25" s="35">
        <v>1</v>
      </c>
    </row>
    <row r="26" spans="5:14" ht="15.75" thickBot="1" x14ac:dyDescent="0.3">
      <c r="E26" t="s">
        <v>30</v>
      </c>
      <c r="F26" s="36">
        <v>0</v>
      </c>
      <c r="G26" s="36">
        <v>0</v>
      </c>
      <c r="H26" s="36">
        <v>2</v>
      </c>
      <c r="J26" s="35">
        <v>4</v>
      </c>
      <c r="K26" s="35">
        <v>3</v>
      </c>
      <c r="L26" s="35">
        <v>1</v>
      </c>
    </row>
    <row r="27" spans="5:14" x14ac:dyDescent="0.25">
      <c r="F27" s="37">
        <f>SUM(F22:F26)</f>
        <v>8</v>
      </c>
      <c r="G27" s="37">
        <f t="shared" ref="G27" si="1">SUM(G22:G26)</f>
        <v>2</v>
      </c>
      <c r="H27" s="37">
        <f t="shared" ref="H27" si="2">SUM(H22:H26)</f>
        <v>7</v>
      </c>
    </row>
    <row r="30" spans="5:14" x14ac:dyDescent="0.25">
      <c r="F30" s="138" t="s">
        <v>22</v>
      </c>
      <c r="G30" s="138"/>
      <c r="H30" s="138"/>
      <c r="J30" s="138" t="s">
        <v>23</v>
      </c>
      <c r="K30" s="138"/>
      <c r="L30" s="138"/>
    </row>
    <row r="31" spans="5:14" x14ac:dyDescent="0.25">
      <c r="F31" s="35" t="s">
        <v>18</v>
      </c>
      <c r="G31" s="35" t="s">
        <v>19</v>
      </c>
      <c r="H31" s="35" t="s">
        <v>20</v>
      </c>
      <c r="J31" s="35" t="s">
        <v>18</v>
      </c>
      <c r="K31" s="35" t="s">
        <v>19</v>
      </c>
      <c r="L31" s="35" t="s">
        <v>20</v>
      </c>
      <c r="M31" s="38" t="s">
        <v>25</v>
      </c>
      <c r="N31">
        <v>5</v>
      </c>
    </row>
    <row r="32" spans="5:14" x14ac:dyDescent="0.25">
      <c r="E32" t="s">
        <v>26</v>
      </c>
      <c r="F32" s="35">
        <v>0</v>
      </c>
      <c r="G32" s="35">
        <v>1</v>
      </c>
      <c r="H32" s="35">
        <v>0</v>
      </c>
      <c r="J32" s="35">
        <v>7</v>
      </c>
      <c r="K32" s="35">
        <v>4</v>
      </c>
      <c r="L32" s="35">
        <v>3</v>
      </c>
      <c r="N32">
        <v>3</v>
      </c>
    </row>
    <row r="33" spans="5:14" x14ac:dyDescent="0.25">
      <c r="E33" t="s">
        <v>28</v>
      </c>
      <c r="F33" s="35">
        <v>3</v>
      </c>
      <c r="G33" s="35">
        <v>0</v>
      </c>
      <c r="H33" s="35">
        <v>2</v>
      </c>
      <c r="J33" s="35">
        <v>6</v>
      </c>
      <c r="K33" s="35">
        <v>0</v>
      </c>
      <c r="L33" s="35">
        <v>0</v>
      </c>
      <c r="N33">
        <v>4</v>
      </c>
    </row>
    <row r="34" spans="5:14" x14ac:dyDescent="0.25">
      <c r="E34" t="s">
        <v>29</v>
      </c>
      <c r="F34" s="35">
        <v>2</v>
      </c>
      <c r="G34" s="35">
        <v>1</v>
      </c>
      <c r="H34" s="35">
        <v>1</v>
      </c>
      <c r="J34" s="35">
        <v>0</v>
      </c>
      <c r="K34" s="35">
        <v>1</v>
      </c>
      <c r="L34" s="35">
        <v>1</v>
      </c>
    </row>
    <row r="35" spans="5:14" ht="15.75" thickBot="1" x14ac:dyDescent="0.3">
      <c r="E35" s="39" t="s">
        <v>30</v>
      </c>
      <c r="F35" s="40">
        <v>0</v>
      </c>
      <c r="G35" s="40">
        <v>0</v>
      </c>
      <c r="H35" s="40">
        <v>2</v>
      </c>
      <c r="J35" s="35">
        <v>4</v>
      </c>
      <c r="K35" s="35">
        <v>3</v>
      </c>
      <c r="L35" s="35">
        <v>1</v>
      </c>
    </row>
    <row r="36" spans="5:14" x14ac:dyDescent="0.25">
      <c r="F36" s="37">
        <f>SUM(F32:F35)</f>
        <v>5</v>
      </c>
      <c r="G36" s="37">
        <f>SUM(G32:G35)</f>
        <v>2</v>
      </c>
      <c r="H36" s="37">
        <f>SUM(H32:H35)</f>
        <v>5</v>
      </c>
    </row>
    <row r="39" spans="5:14" x14ac:dyDescent="0.25">
      <c r="F39" s="138" t="s">
        <v>22</v>
      </c>
      <c r="G39" s="138"/>
      <c r="H39" s="138"/>
      <c r="J39" s="138" t="s">
        <v>23</v>
      </c>
      <c r="K39" s="138"/>
      <c r="L39" s="138"/>
    </row>
    <row r="40" spans="5:14" x14ac:dyDescent="0.25">
      <c r="F40" s="35" t="s">
        <v>18</v>
      </c>
      <c r="G40" s="35" t="s">
        <v>19</v>
      </c>
      <c r="H40" s="35" t="s">
        <v>20</v>
      </c>
      <c r="J40" s="35" t="s">
        <v>18</v>
      </c>
      <c r="K40" s="35" t="s">
        <v>19</v>
      </c>
      <c r="L40" s="35" t="s">
        <v>20</v>
      </c>
      <c r="M40" s="38" t="s">
        <v>31</v>
      </c>
      <c r="N40">
        <v>7</v>
      </c>
    </row>
    <row r="41" spans="5:14" x14ac:dyDescent="0.25">
      <c r="E41" t="s">
        <v>26</v>
      </c>
      <c r="F41" s="35">
        <v>0</v>
      </c>
      <c r="G41" s="35">
        <v>1</v>
      </c>
      <c r="H41" s="35">
        <v>0</v>
      </c>
      <c r="J41" s="35">
        <v>7</v>
      </c>
      <c r="K41" s="35">
        <v>4</v>
      </c>
      <c r="L41" s="35">
        <v>3</v>
      </c>
      <c r="N41">
        <v>4</v>
      </c>
    </row>
    <row r="42" spans="5:14" x14ac:dyDescent="0.25">
      <c r="E42" t="s">
        <v>28</v>
      </c>
      <c r="F42" s="35">
        <v>3</v>
      </c>
      <c r="G42" s="35">
        <v>0</v>
      </c>
      <c r="H42" s="35">
        <v>2</v>
      </c>
      <c r="J42" s="35">
        <v>6</v>
      </c>
      <c r="K42" s="35">
        <v>0</v>
      </c>
      <c r="L42" s="35">
        <v>0</v>
      </c>
      <c r="N42">
        <v>5</v>
      </c>
    </row>
    <row r="43" spans="5:14" x14ac:dyDescent="0.25">
      <c r="E43" t="s">
        <v>29</v>
      </c>
      <c r="F43" s="41">
        <v>2</v>
      </c>
      <c r="G43" s="41">
        <v>1</v>
      </c>
      <c r="H43" s="41">
        <v>1</v>
      </c>
      <c r="J43" s="35">
        <v>0</v>
      </c>
      <c r="K43" s="35">
        <v>1</v>
      </c>
      <c r="L43" s="35">
        <v>1</v>
      </c>
    </row>
    <row r="44" spans="5:14" x14ac:dyDescent="0.25">
      <c r="F44" s="37">
        <f>SUM(F41:F43)</f>
        <v>5</v>
      </c>
      <c r="G44" s="37">
        <f>SUM(G41:G43)</f>
        <v>2</v>
      </c>
      <c r="H44" s="37">
        <f>SUM(H41:H43)</f>
        <v>3</v>
      </c>
    </row>
    <row r="46" spans="5:14" x14ac:dyDescent="0.25">
      <c r="F46" s="138" t="s">
        <v>22</v>
      </c>
      <c r="G46" s="138"/>
      <c r="H46" s="138"/>
      <c r="J46" s="138" t="s">
        <v>23</v>
      </c>
      <c r="K46" s="138"/>
      <c r="L46" s="138"/>
    </row>
    <row r="47" spans="5:14" x14ac:dyDescent="0.25">
      <c r="F47" s="35" t="s">
        <v>18</v>
      </c>
      <c r="G47" s="35" t="s">
        <v>19</v>
      </c>
      <c r="H47" s="35" t="s">
        <v>20</v>
      </c>
      <c r="J47" s="35" t="s">
        <v>18</v>
      </c>
      <c r="K47" s="35" t="s">
        <v>19</v>
      </c>
      <c r="L47" s="35" t="s">
        <v>20</v>
      </c>
      <c r="M47" s="38" t="s">
        <v>31</v>
      </c>
      <c r="N47">
        <v>7</v>
      </c>
    </row>
    <row r="48" spans="5:14" x14ac:dyDescent="0.25">
      <c r="E48" s="39" t="s">
        <v>26</v>
      </c>
      <c r="F48" s="41">
        <v>0</v>
      </c>
      <c r="G48" s="41">
        <v>1</v>
      </c>
      <c r="H48" s="41">
        <v>0</v>
      </c>
      <c r="J48" s="35">
        <v>7</v>
      </c>
      <c r="K48" s="35">
        <v>4</v>
      </c>
      <c r="L48" s="35">
        <v>3</v>
      </c>
      <c r="N48">
        <v>5</v>
      </c>
    </row>
    <row r="49" spans="5:14" x14ac:dyDescent="0.25">
      <c r="E49" t="s">
        <v>28</v>
      </c>
      <c r="F49" s="35">
        <v>3</v>
      </c>
      <c r="G49" s="35">
        <v>0</v>
      </c>
      <c r="H49" s="35">
        <v>2</v>
      </c>
      <c r="J49" s="35">
        <v>6</v>
      </c>
      <c r="K49" s="35">
        <v>0</v>
      </c>
      <c r="L49" s="35">
        <v>0</v>
      </c>
      <c r="N49">
        <v>5</v>
      </c>
    </row>
    <row r="50" spans="5:14" x14ac:dyDescent="0.25">
      <c r="F50" s="37">
        <f>SUM(F48:F49)</f>
        <v>3</v>
      </c>
      <c r="G50" s="37">
        <f>SUM(G48:G49)</f>
        <v>1</v>
      </c>
      <c r="H50" s="37">
        <f>SUM(H48:H49)</f>
        <v>2</v>
      </c>
    </row>
    <row r="53" spans="5:14" x14ac:dyDescent="0.25">
      <c r="F53" s="138" t="s">
        <v>22</v>
      </c>
      <c r="G53" s="138"/>
      <c r="H53" s="138"/>
      <c r="J53" s="138" t="s">
        <v>23</v>
      </c>
      <c r="K53" s="138"/>
      <c r="L53" s="138"/>
    </row>
    <row r="54" spans="5:14" x14ac:dyDescent="0.25">
      <c r="F54" s="35" t="s">
        <v>18</v>
      </c>
      <c r="G54" s="35" t="s">
        <v>19</v>
      </c>
      <c r="H54" s="35" t="s">
        <v>20</v>
      </c>
      <c r="J54" s="35" t="s">
        <v>18</v>
      </c>
      <c r="K54" s="35" t="s">
        <v>19</v>
      </c>
      <c r="L54" s="35" t="s">
        <v>20</v>
      </c>
      <c r="M54" s="38" t="s">
        <v>31</v>
      </c>
      <c r="N54">
        <v>10</v>
      </c>
    </row>
    <row r="55" spans="5:14" x14ac:dyDescent="0.25">
      <c r="E55" t="s">
        <v>28</v>
      </c>
      <c r="F55" s="41">
        <v>3</v>
      </c>
      <c r="G55" s="41">
        <v>0</v>
      </c>
      <c r="H55" s="41">
        <v>2</v>
      </c>
      <c r="J55" s="35">
        <v>7</v>
      </c>
      <c r="K55" s="35">
        <v>4</v>
      </c>
      <c r="L55" s="35">
        <v>3</v>
      </c>
      <c r="N55">
        <v>5</v>
      </c>
    </row>
    <row r="56" spans="5:14" x14ac:dyDescent="0.25">
      <c r="F56" s="37">
        <f>SUM(F55:F55)</f>
        <v>3</v>
      </c>
      <c r="G56" s="37">
        <f>SUM(G55:G55)</f>
        <v>0</v>
      </c>
      <c r="H56" s="37">
        <f>SUM(H55:H55)</f>
        <v>2</v>
      </c>
      <c r="J56" s="35">
        <v>6</v>
      </c>
      <c r="K56" s="35">
        <v>0</v>
      </c>
      <c r="L56" s="35">
        <v>0</v>
      </c>
      <c r="N56">
        <v>7</v>
      </c>
    </row>
    <row r="59" spans="5:14" x14ac:dyDescent="0.25">
      <c r="E59" t="s">
        <v>32</v>
      </c>
    </row>
  </sheetData>
  <mergeCells count="14">
    <mergeCell ref="B1:D1"/>
    <mergeCell ref="F1:H1"/>
    <mergeCell ref="J1:L1"/>
    <mergeCell ref="F11:H11"/>
    <mergeCell ref="J20:L20"/>
    <mergeCell ref="F20:H20"/>
    <mergeCell ref="F53:H53"/>
    <mergeCell ref="J53:L53"/>
    <mergeCell ref="F30:H30"/>
    <mergeCell ref="J30:L30"/>
    <mergeCell ref="F39:H39"/>
    <mergeCell ref="J39:L39"/>
    <mergeCell ref="F46:H46"/>
    <mergeCell ref="J46:L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>
      <selection activeCell="Q16" sqref="Q16"/>
    </sheetView>
  </sheetViews>
  <sheetFormatPr defaultRowHeight="15" x14ac:dyDescent="0.25"/>
  <sheetData>
    <row r="1" spans="1:14" x14ac:dyDescent="0.25">
      <c r="A1" s="35"/>
      <c r="B1" s="138" t="s">
        <v>21</v>
      </c>
      <c r="C1" s="138"/>
      <c r="D1" s="138"/>
      <c r="E1" s="42"/>
      <c r="F1" s="35"/>
      <c r="G1" s="138" t="s">
        <v>22</v>
      </c>
      <c r="H1" s="138"/>
      <c r="I1" s="138"/>
      <c r="L1" s="138" t="s">
        <v>23</v>
      </c>
      <c r="M1" s="138"/>
      <c r="N1" s="138"/>
    </row>
    <row r="2" spans="1:14" x14ac:dyDescent="0.25">
      <c r="A2" s="35"/>
      <c r="B2" s="35" t="s">
        <v>18</v>
      </c>
      <c r="C2" s="35" t="s">
        <v>19</v>
      </c>
      <c r="D2" s="35" t="s">
        <v>20</v>
      </c>
      <c r="F2" s="35"/>
      <c r="G2" s="35" t="s">
        <v>18</v>
      </c>
      <c r="H2" s="35" t="s">
        <v>19</v>
      </c>
      <c r="I2" s="35" t="s">
        <v>20</v>
      </c>
      <c r="L2" s="35" t="s">
        <v>18</v>
      </c>
      <c r="M2" s="35" t="s">
        <v>19</v>
      </c>
      <c r="N2" s="35" t="s">
        <v>20</v>
      </c>
    </row>
    <row r="3" spans="1:14" x14ac:dyDescent="0.25">
      <c r="A3" s="35" t="s">
        <v>13</v>
      </c>
      <c r="B3" s="35">
        <v>7</v>
      </c>
      <c r="C3" s="35">
        <v>5</v>
      </c>
      <c r="D3" s="35">
        <v>3</v>
      </c>
      <c r="F3" s="35" t="s">
        <v>13</v>
      </c>
      <c r="G3" s="35">
        <v>0</v>
      </c>
      <c r="H3" s="35">
        <v>1</v>
      </c>
      <c r="I3" s="35">
        <v>0</v>
      </c>
      <c r="L3" s="35">
        <v>7</v>
      </c>
      <c r="M3" s="35">
        <v>4</v>
      </c>
      <c r="N3" s="35">
        <v>3</v>
      </c>
    </row>
    <row r="4" spans="1:14" x14ac:dyDescent="0.25">
      <c r="A4" s="35" t="s">
        <v>14</v>
      </c>
      <c r="B4" s="35">
        <v>3</v>
      </c>
      <c r="C4" s="35">
        <v>2</v>
      </c>
      <c r="D4" s="35">
        <v>2</v>
      </c>
      <c r="F4" s="35" t="s">
        <v>14</v>
      </c>
      <c r="G4" s="35">
        <v>2</v>
      </c>
      <c r="H4" s="35">
        <v>0</v>
      </c>
      <c r="I4" s="35">
        <v>0</v>
      </c>
      <c r="L4" s="35">
        <v>0</v>
      </c>
      <c r="M4" s="35">
        <v>2</v>
      </c>
      <c r="N4" s="35">
        <v>0</v>
      </c>
    </row>
    <row r="5" spans="1:14" x14ac:dyDescent="0.25">
      <c r="A5" s="35" t="s">
        <v>15</v>
      </c>
      <c r="B5" s="35">
        <v>9</v>
      </c>
      <c r="C5" s="35">
        <v>0</v>
      </c>
      <c r="D5" s="35">
        <v>2</v>
      </c>
      <c r="F5" s="35" t="s">
        <v>15</v>
      </c>
      <c r="G5" s="35">
        <v>3</v>
      </c>
      <c r="H5" s="35">
        <v>0</v>
      </c>
      <c r="I5" s="35">
        <v>2</v>
      </c>
      <c r="L5" s="35">
        <v>6</v>
      </c>
      <c r="M5" s="35">
        <v>0</v>
      </c>
      <c r="N5" s="35">
        <v>0</v>
      </c>
    </row>
    <row r="6" spans="1:14" x14ac:dyDescent="0.25">
      <c r="A6" s="35" t="s">
        <v>16</v>
      </c>
      <c r="B6" s="35">
        <v>2</v>
      </c>
      <c r="C6" s="35">
        <v>2</v>
      </c>
      <c r="D6" s="35">
        <v>2</v>
      </c>
      <c r="F6" s="35" t="s">
        <v>16</v>
      </c>
      <c r="G6" s="35">
        <v>2</v>
      </c>
      <c r="H6" s="35">
        <v>1</v>
      </c>
      <c r="I6" s="35">
        <v>1</v>
      </c>
      <c r="L6" s="35">
        <v>0</v>
      </c>
      <c r="M6" s="35">
        <v>1</v>
      </c>
      <c r="N6" s="35">
        <v>1</v>
      </c>
    </row>
    <row r="7" spans="1:14" x14ac:dyDescent="0.25">
      <c r="A7" s="35" t="s">
        <v>17</v>
      </c>
      <c r="B7" s="35">
        <v>4</v>
      </c>
      <c r="C7" s="35">
        <v>3</v>
      </c>
      <c r="D7" s="35">
        <v>3</v>
      </c>
      <c r="F7" s="35" t="s">
        <v>17</v>
      </c>
      <c r="G7" s="35">
        <v>0</v>
      </c>
      <c r="H7" s="35">
        <v>0</v>
      </c>
      <c r="I7" s="35">
        <v>2</v>
      </c>
      <c r="L7" s="35">
        <v>4</v>
      </c>
      <c r="M7" s="35">
        <v>3</v>
      </c>
      <c r="N7" s="35">
        <v>1</v>
      </c>
    </row>
    <row r="9" spans="1:14" x14ac:dyDescent="0.25">
      <c r="K9" t="s">
        <v>25</v>
      </c>
      <c r="L9">
        <v>2</v>
      </c>
      <c r="M9">
        <v>3</v>
      </c>
      <c r="N9">
        <v>0</v>
      </c>
    </row>
    <row r="10" spans="1:14" x14ac:dyDescent="0.25">
      <c r="F10" s="35"/>
      <c r="G10" s="138" t="s">
        <v>22</v>
      </c>
      <c r="H10" s="138"/>
      <c r="I10" s="138"/>
    </row>
    <row r="11" spans="1:14" x14ac:dyDescent="0.25">
      <c r="F11" s="35"/>
      <c r="G11" s="35" t="s">
        <v>18</v>
      </c>
      <c r="H11" s="35" t="s">
        <v>19</v>
      </c>
      <c r="I11" s="35" t="s">
        <v>20</v>
      </c>
      <c r="L11" s="140" t="s">
        <v>23</v>
      </c>
      <c r="M11" s="141"/>
      <c r="N11" s="142"/>
    </row>
    <row r="12" spans="1:14" x14ac:dyDescent="0.25">
      <c r="F12" s="35" t="s">
        <v>13</v>
      </c>
      <c r="G12" s="35">
        <v>0</v>
      </c>
      <c r="H12" s="35">
        <v>1</v>
      </c>
      <c r="I12" s="35">
        <v>0</v>
      </c>
      <c r="L12" s="35" t="s">
        <v>18</v>
      </c>
      <c r="M12" s="35" t="s">
        <v>19</v>
      </c>
      <c r="N12" s="35" t="s">
        <v>20</v>
      </c>
    </row>
    <row r="13" spans="1:14" x14ac:dyDescent="0.25">
      <c r="F13" s="35" t="s">
        <v>14</v>
      </c>
      <c r="G13" s="35">
        <v>3</v>
      </c>
      <c r="H13" s="35">
        <v>0</v>
      </c>
      <c r="I13" s="35">
        <v>2</v>
      </c>
      <c r="L13" s="35">
        <v>7</v>
      </c>
      <c r="M13" s="35">
        <v>4</v>
      </c>
      <c r="N13" s="35">
        <v>3</v>
      </c>
    </row>
    <row r="14" spans="1:14" x14ac:dyDescent="0.25">
      <c r="F14" s="35" t="s">
        <v>15</v>
      </c>
      <c r="G14" s="35">
        <v>3</v>
      </c>
      <c r="H14" s="35">
        <v>0</v>
      </c>
      <c r="I14" s="35">
        <v>2</v>
      </c>
      <c r="L14" s="35">
        <v>0</v>
      </c>
      <c r="M14" s="35">
        <v>2</v>
      </c>
      <c r="N14" s="35">
        <v>0</v>
      </c>
    </row>
    <row r="15" spans="1:14" x14ac:dyDescent="0.25">
      <c r="F15" s="35" t="s">
        <v>16</v>
      </c>
      <c r="G15" s="35">
        <v>2</v>
      </c>
      <c r="H15" s="35">
        <v>1</v>
      </c>
      <c r="I15" s="35">
        <v>1</v>
      </c>
      <c r="L15" s="35">
        <v>6</v>
      </c>
      <c r="M15" s="35">
        <v>0</v>
      </c>
      <c r="N15" s="35">
        <v>0</v>
      </c>
    </row>
    <row r="16" spans="1:14" x14ac:dyDescent="0.25">
      <c r="F16" s="35" t="s">
        <v>17</v>
      </c>
      <c r="G16" s="35">
        <v>0</v>
      </c>
      <c r="H16" s="35">
        <v>0</v>
      </c>
      <c r="I16" s="35">
        <v>2</v>
      </c>
      <c r="L16" s="35">
        <v>0</v>
      </c>
      <c r="M16" s="35">
        <v>1</v>
      </c>
      <c r="N16" s="35">
        <v>1</v>
      </c>
    </row>
    <row r="17" spans="6:14" x14ac:dyDescent="0.25">
      <c r="G17" s="43">
        <f>SUM(G12:G16)</f>
        <v>8</v>
      </c>
      <c r="H17" s="43">
        <f t="shared" ref="H17:I17" si="0">SUM(H12:H16)</f>
        <v>2</v>
      </c>
      <c r="I17" s="43">
        <f t="shared" si="0"/>
        <v>7</v>
      </c>
      <c r="L17" s="35">
        <v>4</v>
      </c>
      <c r="M17" s="35">
        <v>3</v>
      </c>
      <c r="N17" s="35">
        <v>1</v>
      </c>
    </row>
    <row r="20" spans="6:14" x14ac:dyDescent="0.25">
      <c r="K20" t="s">
        <v>25</v>
      </c>
      <c r="L20">
        <v>5</v>
      </c>
      <c r="M20">
        <v>3</v>
      </c>
      <c r="N20">
        <v>2</v>
      </c>
    </row>
    <row r="21" spans="6:14" x14ac:dyDescent="0.25">
      <c r="F21" s="35"/>
      <c r="G21" s="138" t="s">
        <v>22</v>
      </c>
      <c r="H21" s="138"/>
      <c r="I21" s="138"/>
    </row>
    <row r="22" spans="6:14" x14ac:dyDescent="0.25">
      <c r="F22" s="35"/>
      <c r="G22" s="35" t="s">
        <v>18</v>
      </c>
      <c r="H22" s="35" t="s">
        <v>19</v>
      </c>
      <c r="I22" s="35" t="s">
        <v>20</v>
      </c>
      <c r="L22" s="140" t="s">
        <v>23</v>
      </c>
      <c r="M22" s="141"/>
      <c r="N22" s="142"/>
    </row>
    <row r="23" spans="6:14" x14ac:dyDescent="0.25">
      <c r="F23" s="35" t="s">
        <v>13</v>
      </c>
      <c r="G23" s="35">
        <v>0</v>
      </c>
      <c r="H23" s="35">
        <v>1</v>
      </c>
      <c r="I23" s="35">
        <v>0</v>
      </c>
      <c r="L23" s="35" t="s">
        <v>18</v>
      </c>
      <c r="M23" s="35" t="s">
        <v>19</v>
      </c>
      <c r="N23" s="35" t="s">
        <v>20</v>
      </c>
    </row>
    <row r="24" spans="6:14" x14ac:dyDescent="0.25">
      <c r="F24" s="35" t="s">
        <v>15</v>
      </c>
      <c r="G24" s="35">
        <v>3</v>
      </c>
      <c r="H24" s="35">
        <v>0</v>
      </c>
      <c r="I24" s="35">
        <v>2</v>
      </c>
      <c r="L24" s="35">
        <v>7</v>
      </c>
      <c r="M24" s="35">
        <v>4</v>
      </c>
      <c r="N24" s="35">
        <v>3</v>
      </c>
    </row>
    <row r="25" spans="6:14" x14ac:dyDescent="0.25">
      <c r="F25" s="35" t="s">
        <v>16</v>
      </c>
      <c r="G25" s="35">
        <v>2</v>
      </c>
      <c r="H25" s="35">
        <v>1</v>
      </c>
      <c r="I25" s="35">
        <v>1</v>
      </c>
      <c r="L25" s="35">
        <v>6</v>
      </c>
      <c r="M25" s="35">
        <v>0</v>
      </c>
      <c r="N25" s="35">
        <v>0</v>
      </c>
    </row>
    <row r="26" spans="6:14" x14ac:dyDescent="0.25">
      <c r="F26" s="35" t="s">
        <v>17</v>
      </c>
      <c r="G26" s="35">
        <v>0</v>
      </c>
      <c r="H26" s="35">
        <v>0</v>
      </c>
      <c r="I26" s="35">
        <v>2</v>
      </c>
      <c r="L26" s="35">
        <v>0</v>
      </c>
      <c r="M26" s="35">
        <v>1</v>
      </c>
      <c r="N26" s="35">
        <v>1</v>
      </c>
    </row>
    <row r="27" spans="6:14" x14ac:dyDescent="0.25">
      <c r="G27">
        <f>SUM(G23:G26)</f>
        <v>5</v>
      </c>
      <c r="H27">
        <f>SUM(H23:H26)</f>
        <v>2</v>
      </c>
      <c r="I27">
        <f>SUM(I23:I26)</f>
        <v>5</v>
      </c>
      <c r="L27" s="35">
        <v>4</v>
      </c>
      <c r="M27" s="35">
        <v>3</v>
      </c>
      <c r="N27" s="35">
        <v>1</v>
      </c>
    </row>
    <row r="30" spans="6:14" x14ac:dyDescent="0.25">
      <c r="K30" t="s">
        <v>25</v>
      </c>
      <c r="L30">
        <v>7</v>
      </c>
      <c r="M30">
        <v>4</v>
      </c>
      <c r="N30">
        <v>3</v>
      </c>
    </row>
    <row r="31" spans="6:14" x14ac:dyDescent="0.25">
      <c r="F31" s="35"/>
      <c r="G31" s="138" t="s">
        <v>22</v>
      </c>
      <c r="H31" s="138"/>
      <c r="I31" s="138"/>
    </row>
    <row r="32" spans="6:14" x14ac:dyDescent="0.25">
      <c r="F32" s="35"/>
      <c r="G32" s="35" t="s">
        <v>18</v>
      </c>
      <c r="H32" s="35" t="s">
        <v>19</v>
      </c>
      <c r="I32" s="35" t="s">
        <v>20</v>
      </c>
      <c r="L32" s="140" t="s">
        <v>23</v>
      </c>
      <c r="M32" s="141"/>
      <c r="N32" s="142"/>
    </row>
    <row r="33" spans="6:14" x14ac:dyDescent="0.25">
      <c r="F33" s="35" t="s">
        <v>13</v>
      </c>
      <c r="G33" s="35">
        <v>0</v>
      </c>
      <c r="H33" s="35">
        <v>1</v>
      </c>
      <c r="I33" s="35">
        <v>0</v>
      </c>
      <c r="L33" s="35" t="s">
        <v>18</v>
      </c>
      <c r="M33" s="35" t="s">
        <v>19</v>
      </c>
      <c r="N33" s="35" t="s">
        <v>20</v>
      </c>
    </row>
    <row r="34" spans="6:14" x14ac:dyDescent="0.25">
      <c r="F34" s="35" t="s">
        <v>15</v>
      </c>
      <c r="G34" s="35">
        <v>3</v>
      </c>
      <c r="H34" s="35">
        <v>0</v>
      </c>
      <c r="I34" s="35">
        <v>2</v>
      </c>
      <c r="L34" s="35">
        <v>7</v>
      </c>
      <c r="M34" s="35">
        <v>4</v>
      </c>
      <c r="N34" s="35">
        <v>3</v>
      </c>
    </row>
    <row r="35" spans="6:14" x14ac:dyDescent="0.25">
      <c r="F35" s="35" t="s">
        <v>16</v>
      </c>
      <c r="G35" s="35">
        <v>2</v>
      </c>
      <c r="H35" s="35">
        <v>1</v>
      </c>
      <c r="I35" s="35">
        <v>1</v>
      </c>
      <c r="L35" s="35">
        <v>6</v>
      </c>
      <c r="M35" s="35">
        <v>0</v>
      </c>
      <c r="N35" s="35">
        <v>0</v>
      </c>
    </row>
    <row r="36" spans="6:14" x14ac:dyDescent="0.25">
      <c r="F36" s="35" t="s">
        <v>17</v>
      </c>
      <c r="G36" s="35">
        <v>0</v>
      </c>
      <c r="H36" s="35">
        <v>0</v>
      </c>
      <c r="I36" s="35">
        <v>2</v>
      </c>
      <c r="L36" s="35"/>
      <c r="M36" s="35"/>
      <c r="N36" s="35"/>
    </row>
    <row r="37" spans="6:14" x14ac:dyDescent="0.25">
      <c r="G37">
        <f>SUM(G33:G36)</f>
        <v>5</v>
      </c>
      <c r="H37">
        <f>SUM(H33:H36)</f>
        <v>2</v>
      </c>
      <c r="I37">
        <f>SUM(I33:I36)</f>
        <v>5</v>
      </c>
      <c r="L37" s="35">
        <v>4</v>
      </c>
      <c r="M37" s="35">
        <v>3</v>
      </c>
      <c r="N37" s="35">
        <v>1</v>
      </c>
    </row>
    <row r="41" spans="6:14" x14ac:dyDescent="0.25">
      <c r="K41" t="s">
        <v>25</v>
      </c>
      <c r="L41">
        <v>7</v>
      </c>
      <c r="M41">
        <v>4</v>
      </c>
      <c r="N41">
        <v>5</v>
      </c>
    </row>
    <row r="42" spans="6:14" x14ac:dyDescent="0.25">
      <c r="F42" s="35"/>
      <c r="G42" s="138" t="s">
        <v>22</v>
      </c>
      <c r="H42" s="138"/>
      <c r="I42" s="138"/>
    </row>
    <row r="43" spans="6:14" x14ac:dyDescent="0.25">
      <c r="F43" s="35"/>
      <c r="G43" s="35" t="s">
        <v>18</v>
      </c>
      <c r="H43" s="35" t="s">
        <v>19</v>
      </c>
      <c r="I43" s="35" t="s">
        <v>20</v>
      </c>
      <c r="L43" s="140" t="s">
        <v>23</v>
      </c>
      <c r="M43" s="141"/>
      <c r="N43" s="142"/>
    </row>
    <row r="44" spans="6:14" x14ac:dyDescent="0.25">
      <c r="F44" s="35" t="s">
        <v>13</v>
      </c>
      <c r="G44" s="35">
        <v>0</v>
      </c>
      <c r="H44" s="35">
        <v>1</v>
      </c>
      <c r="I44" s="35">
        <v>0</v>
      </c>
      <c r="L44" s="35" t="s">
        <v>18</v>
      </c>
      <c r="M44" s="35" t="s">
        <v>19</v>
      </c>
      <c r="N44" s="35" t="s">
        <v>20</v>
      </c>
    </row>
    <row r="45" spans="6:14" x14ac:dyDescent="0.25">
      <c r="F45" s="35" t="s">
        <v>15</v>
      </c>
      <c r="G45" s="35">
        <v>3</v>
      </c>
      <c r="H45" s="35">
        <v>0</v>
      </c>
      <c r="I45" s="35">
        <v>2</v>
      </c>
      <c r="L45" s="35">
        <v>7</v>
      </c>
      <c r="M45" s="35">
        <v>4</v>
      </c>
      <c r="N45" s="35">
        <v>3</v>
      </c>
    </row>
    <row r="46" spans="6:14" x14ac:dyDescent="0.25">
      <c r="F46" s="35" t="s">
        <v>16</v>
      </c>
      <c r="G46" s="35">
        <v>2</v>
      </c>
      <c r="H46" s="35">
        <v>1</v>
      </c>
      <c r="I46" s="35">
        <v>1</v>
      </c>
      <c r="L46" s="35">
        <v>6</v>
      </c>
      <c r="M46" s="35">
        <v>0</v>
      </c>
      <c r="N46" s="35">
        <v>0</v>
      </c>
    </row>
    <row r="47" spans="6:14" x14ac:dyDescent="0.25">
      <c r="F47" s="35" t="s">
        <v>17</v>
      </c>
      <c r="G47" s="35">
        <v>0</v>
      </c>
      <c r="H47" s="35">
        <v>0</v>
      </c>
      <c r="I47" s="35">
        <v>2</v>
      </c>
      <c r="L47" s="35"/>
      <c r="M47" s="35"/>
      <c r="N47" s="35"/>
    </row>
    <row r="48" spans="6:14" x14ac:dyDescent="0.25">
      <c r="G48">
        <f>SUM(G44:G47)</f>
        <v>5</v>
      </c>
      <c r="H48">
        <f>SUM(H44:H47)</f>
        <v>2</v>
      </c>
      <c r="I48">
        <f>SUM(I44:I47)</f>
        <v>5</v>
      </c>
      <c r="L48" s="35"/>
      <c r="M48" s="35"/>
      <c r="N48" s="35"/>
    </row>
    <row r="52" spans="6:14" x14ac:dyDescent="0.25">
      <c r="K52" t="s">
        <v>25</v>
      </c>
      <c r="L52">
        <v>7</v>
      </c>
      <c r="M52">
        <v>4</v>
      </c>
      <c r="N52">
        <v>5</v>
      </c>
    </row>
    <row r="53" spans="6:14" x14ac:dyDescent="0.25">
      <c r="F53" s="35"/>
      <c r="G53" s="138" t="s">
        <v>22</v>
      </c>
      <c r="H53" s="138"/>
      <c r="I53" s="138"/>
    </row>
    <row r="54" spans="6:14" x14ac:dyDescent="0.25">
      <c r="F54" s="35"/>
      <c r="G54" s="35" t="s">
        <v>18</v>
      </c>
      <c r="H54" s="35" t="s">
        <v>19</v>
      </c>
      <c r="I54" s="35" t="s">
        <v>20</v>
      </c>
      <c r="L54" s="140" t="s">
        <v>23</v>
      </c>
      <c r="M54" s="141"/>
      <c r="N54" s="142"/>
    </row>
    <row r="55" spans="6:14" x14ac:dyDescent="0.25">
      <c r="F55" s="35" t="s">
        <v>13</v>
      </c>
      <c r="G55" s="35">
        <v>0</v>
      </c>
      <c r="H55" s="35">
        <v>1</v>
      </c>
      <c r="I55" s="35">
        <v>0</v>
      </c>
      <c r="L55" s="35" t="s">
        <v>18</v>
      </c>
      <c r="M55" s="35" t="s">
        <v>19</v>
      </c>
      <c r="N55" s="35" t="s">
        <v>20</v>
      </c>
    </row>
    <row r="56" spans="6:14" x14ac:dyDescent="0.25">
      <c r="F56" s="35" t="s">
        <v>15</v>
      </c>
      <c r="G56" s="35">
        <v>3</v>
      </c>
      <c r="H56" s="35">
        <v>0</v>
      </c>
      <c r="I56" s="35">
        <v>2</v>
      </c>
      <c r="L56" s="35">
        <v>7</v>
      </c>
      <c r="M56" s="35">
        <v>4</v>
      </c>
      <c r="N56" s="35">
        <v>3</v>
      </c>
    </row>
    <row r="57" spans="6:14" x14ac:dyDescent="0.25">
      <c r="F57" s="35" t="s">
        <v>16</v>
      </c>
      <c r="G57" s="35">
        <v>2</v>
      </c>
      <c r="H57" s="35">
        <v>1</v>
      </c>
      <c r="I57" s="35">
        <v>1</v>
      </c>
      <c r="L57" s="35">
        <v>6</v>
      </c>
      <c r="M57" s="35">
        <v>0</v>
      </c>
      <c r="N57" s="35">
        <v>0</v>
      </c>
    </row>
    <row r="58" spans="6:14" x14ac:dyDescent="0.25">
      <c r="G58">
        <f>SUM(G55:G57)</f>
        <v>5</v>
      </c>
      <c r="H58">
        <f>SUM(H55:H57)</f>
        <v>2</v>
      </c>
      <c r="I58">
        <f>SUM(I55:I57)</f>
        <v>3</v>
      </c>
      <c r="L58" s="35"/>
      <c r="M58" s="35"/>
      <c r="N58" s="35"/>
    </row>
    <row r="59" spans="6:14" x14ac:dyDescent="0.25">
      <c r="L59" s="35"/>
      <c r="M59" s="35"/>
      <c r="N59" s="35"/>
    </row>
    <row r="62" spans="6:14" x14ac:dyDescent="0.25">
      <c r="K62" t="s">
        <v>25</v>
      </c>
      <c r="L62">
        <v>10</v>
      </c>
      <c r="M62">
        <v>4</v>
      </c>
      <c r="N62">
        <v>7</v>
      </c>
    </row>
    <row r="63" spans="6:14" x14ac:dyDescent="0.25">
      <c r="F63" s="35"/>
      <c r="G63" s="138" t="s">
        <v>22</v>
      </c>
      <c r="H63" s="138"/>
      <c r="I63" s="138"/>
    </row>
    <row r="64" spans="6:14" x14ac:dyDescent="0.25">
      <c r="F64" s="35"/>
      <c r="G64" s="35" t="s">
        <v>18</v>
      </c>
      <c r="H64" s="35" t="s">
        <v>19</v>
      </c>
      <c r="I64" s="35" t="s">
        <v>20</v>
      </c>
    </row>
    <row r="65" spans="6:14" x14ac:dyDescent="0.25">
      <c r="F65" s="35" t="s">
        <v>13</v>
      </c>
      <c r="G65" s="35">
        <v>0</v>
      </c>
      <c r="H65" s="35">
        <v>1</v>
      </c>
      <c r="I65" s="35">
        <v>0</v>
      </c>
      <c r="L65" s="140" t="s">
        <v>23</v>
      </c>
      <c r="M65" s="141"/>
      <c r="N65" s="142"/>
    </row>
    <row r="66" spans="6:14" x14ac:dyDescent="0.25">
      <c r="F66" s="35" t="s">
        <v>15</v>
      </c>
      <c r="G66" s="35">
        <v>3</v>
      </c>
      <c r="H66" s="35">
        <v>0</v>
      </c>
      <c r="I66" s="35">
        <v>2</v>
      </c>
      <c r="L66" s="35" t="s">
        <v>18</v>
      </c>
      <c r="M66" s="35" t="s">
        <v>19</v>
      </c>
      <c r="N66" s="35" t="s">
        <v>20</v>
      </c>
    </row>
    <row r="67" spans="6:14" x14ac:dyDescent="0.25">
      <c r="G67">
        <f>SUM(G65:G66)</f>
        <v>3</v>
      </c>
      <c r="H67">
        <f>SUM(H65:H66)</f>
        <v>1</v>
      </c>
      <c r="I67">
        <f>SUM(I65:I66)</f>
        <v>2</v>
      </c>
      <c r="L67" s="35">
        <v>7</v>
      </c>
      <c r="M67" s="35">
        <v>4</v>
      </c>
      <c r="N67" s="35">
        <v>3</v>
      </c>
    </row>
    <row r="68" spans="6:14" x14ac:dyDescent="0.25">
      <c r="L68" s="35"/>
      <c r="M68" s="35"/>
      <c r="N68" s="35"/>
    </row>
    <row r="69" spans="6:14" x14ac:dyDescent="0.25">
      <c r="L69" s="35"/>
      <c r="M69" s="35"/>
      <c r="N69" s="35"/>
    </row>
    <row r="70" spans="6:14" x14ac:dyDescent="0.25">
      <c r="L70" s="35"/>
      <c r="M70" s="35"/>
      <c r="N70" s="35"/>
    </row>
    <row r="72" spans="6:14" x14ac:dyDescent="0.25">
      <c r="F72" s="35"/>
      <c r="G72" s="138" t="s">
        <v>22</v>
      </c>
      <c r="H72" s="138"/>
      <c r="I72" s="138"/>
      <c r="K72" t="s">
        <v>25</v>
      </c>
      <c r="L72">
        <v>10</v>
      </c>
      <c r="M72">
        <v>5</v>
      </c>
      <c r="N72">
        <v>7</v>
      </c>
    </row>
    <row r="73" spans="6:14" x14ac:dyDescent="0.25">
      <c r="F73" s="35"/>
      <c r="G73" s="35" t="s">
        <v>18</v>
      </c>
      <c r="H73" s="35" t="s">
        <v>19</v>
      </c>
      <c r="I73" s="35" t="s">
        <v>20</v>
      </c>
    </row>
    <row r="74" spans="6:14" x14ac:dyDescent="0.25">
      <c r="F74" s="35" t="s">
        <v>13</v>
      </c>
      <c r="G74" s="35">
        <v>0</v>
      </c>
      <c r="H74" s="35">
        <v>1</v>
      </c>
      <c r="I74" s="35">
        <v>0</v>
      </c>
      <c r="L74" s="140" t="s">
        <v>23</v>
      </c>
      <c r="M74" s="141"/>
      <c r="N74" s="142"/>
    </row>
    <row r="75" spans="6:14" x14ac:dyDescent="0.25">
      <c r="G75">
        <f>SUM(G74:G74)</f>
        <v>0</v>
      </c>
      <c r="H75">
        <f>SUM(H74:H74)</f>
        <v>1</v>
      </c>
      <c r="I75">
        <f>SUM(I74:I74)</f>
        <v>0</v>
      </c>
      <c r="L75" s="35" t="s">
        <v>18</v>
      </c>
      <c r="M75" s="35" t="s">
        <v>19</v>
      </c>
      <c r="N75" s="35" t="s">
        <v>20</v>
      </c>
    </row>
    <row r="76" spans="6:14" x14ac:dyDescent="0.25">
      <c r="L76" s="35"/>
      <c r="M76" s="35"/>
      <c r="N76" s="35"/>
    </row>
    <row r="77" spans="6:14" x14ac:dyDescent="0.25">
      <c r="L77" s="35"/>
      <c r="M77" s="35"/>
      <c r="N77" s="35"/>
    </row>
    <row r="78" spans="6:14" x14ac:dyDescent="0.25">
      <c r="L78" s="35"/>
      <c r="M78" s="35"/>
      <c r="N78" s="35"/>
    </row>
    <row r="79" spans="6:14" x14ac:dyDescent="0.25">
      <c r="L79" s="35"/>
      <c r="M79" s="35"/>
      <c r="N79" s="35"/>
    </row>
  </sheetData>
  <mergeCells count="17">
    <mergeCell ref="G1:I1"/>
    <mergeCell ref="L1:N1"/>
    <mergeCell ref="G10:I10"/>
    <mergeCell ref="B1:D1"/>
    <mergeCell ref="L11:N11"/>
    <mergeCell ref="L74:N74"/>
    <mergeCell ref="G21:I21"/>
    <mergeCell ref="L22:N22"/>
    <mergeCell ref="G31:I31"/>
    <mergeCell ref="L32:N32"/>
    <mergeCell ref="G42:I42"/>
    <mergeCell ref="L43:N43"/>
    <mergeCell ref="G53:I53"/>
    <mergeCell ref="L54:N54"/>
    <mergeCell ref="G63:I63"/>
    <mergeCell ref="L65:N65"/>
    <mergeCell ref="G72:I7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"/>
  <sheetViews>
    <sheetView zoomScale="85" zoomScaleNormal="85" workbookViewId="0">
      <selection activeCell="P11" sqref="P11"/>
    </sheetView>
  </sheetViews>
  <sheetFormatPr defaultRowHeight="15" x14ac:dyDescent="0.25"/>
  <cols>
    <col min="1" max="1" width="21.7109375" bestFit="1" customWidth="1"/>
    <col min="2" max="2" width="10.28515625" bestFit="1" customWidth="1"/>
    <col min="25" max="25" width="13.5703125" bestFit="1" customWidth="1"/>
  </cols>
  <sheetData>
    <row r="1" spans="1:25" x14ac:dyDescent="0.25">
      <c r="C1" t="s">
        <v>37</v>
      </c>
      <c r="E1">
        <v>30</v>
      </c>
      <c r="F1">
        <v>35</v>
      </c>
      <c r="G1">
        <v>15</v>
      </c>
      <c r="H1">
        <v>25</v>
      </c>
      <c r="I1">
        <v>75</v>
      </c>
      <c r="J1">
        <v>45</v>
      </c>
    </row>
    <row r="2" spans="1:25" x14ac:dyDescent="0.25">
      <c r="C2" t="s">
        <v>36</v>
      </c>
      <c r="E2">
        <v>39</v>
      </c>
      <c r="F2">
        <v>40</v>
      </c>
      <c r="G2">
        <v>33</v>
      </c>
      <c r="H2">
        <v>20</v>
      </c>
      <c r="I2">
        <v>21</v>
      </c>
    </row>
    <row r="4" spans="1:25" ht="15.75" thickBot="1" x14ac:dyDescent="0.3">
      <c r="A4" t="s">
        <v>52</v>
      </c>
    </row>
    <row r="5" spans="1:25" ht="15.75" thickBot="1" x14ac:dyDescent="0.3">
      <c r="A5" s="5"/>
      <c r="B5" s="5"/>
      <c r="C5" s="143" t="s">
        <v>35</v>
      </c>
      <c r="D5" s="144"/>
      <c r="E5" s="144"/>
      <c r="F5" s="144"/>
      <c r="G5" s="144"/>
      <c r="H5" s="145"/>
      <c r="L5" s="43" t="s">
        <v>46</v>
      </c>
      <c r="O5" s="43">
        <v>20</v>
      </c>
      <c r="T5" s="43" t="s">
        <v>51</v>
      </c>
    </row>
    <row r="6" spans="1:25" ht="15.75" thickBot="1" x14ac:dyDescent="0.3">
      <c r="A6" s="51" t="s">
        <v>33</v>
      </c>
      <c r="B6" s="51" t="s">
        <v>34</v>
      </c>
      <c r="C6" s="55">
        <v>30</v>
      </c>
      <c r="D6" s="47">
        <v>35</v>
      </c>
      <c r="E6" s="47">
        <v>15</v>
      </c>
      <c r="F6" s="47">
        <v>25</v>
      </c>
      <c r="G6" s="47">
        <v>75</v>
      </c>
      <c r="H6" s="48">
        <v>45</v>
      </c>
      <c r="L6" s="43" t="s">
        <v>47</v>
      </c>
      <c r="N6">
        <f>MOD(C14,4)</f>
        <v>2</v>
      </c>
      <c r="O6">
        <f t="shared" ref="O6:S6" si="0">MOD(D14,4)</f>
        <v>3</v>
      </c>
      <c r="P6">
        <f t="shared" si="0"/>
        <v>3</v>
      </c>
      <c r="Q6">
        <f t="shared" si="0"/>
        <v>1</v>
      </c>
      <c r="R6">
        <f t="shared" si="0"/>
        <v>3</v>
      </c>
      <c r="S6">
        <f t="shared" si="0"/>
        <v>1</v>
      </c>
      <c r="T6" s="43">
        <f>SUM(N6:S6)</f>
        <v>13</v>
      </c>
      <c r="X6" s="67" t="s">
        <v>33</v>
      </c>
      <c r="Y6" s="67" t="s">
        <v>63</v>
      </c>
    </row>
    <row r="7" spans="1:25" x14ac:dyDescent="0.25">
      <c r="A7" s="64">
        <v>39</v>
      </c>
      <c r="B7" s="61">
        <v>40</v>
      </c>
      <c r="C7" s="57">
        <v>30</v>
      </c>
      <c r="D7" s="56">
        <v>35</v>
      </c>
      <c r="E7" s="56">
        <v>15</v>
      </c>
      <c r="F7" s="56">
        <v>25</v>
      </c>
      <c r="G7" s="69" t="s">
        <v>64</v>
      </c>
      <c r="H7" s="58">
        <v>45</v>
      </c>
      <c r="I7" s="44"/>
      <c r="L7" s="43" t="s">
        <v>48</v>
      </c>
      <c r="N7">
        <v>10</v>
      </c>
      <c r="O7">
        <v>11</v>
      </c>
      <c r="P7">
        <v>15</v>
      </c>
      <c r="Q7">
        <v>0</v>
      </c>
      <c r="R7">
        <v>0</v>
      </c>
      <c r="S7">
        <v>5</v>
      </c>
      <c r="T7" s="43">
        <f>SUM(N7:S7)</f>
        <v>41</v>
      </c>
      <c r="X7" s="64">
        <v>39</v>
      </c>
      <c r="Y7" s="61">
        <v>40</v>
      </c>
    </row>
    <row r="8" spans="1:25" x14ac:dyDescent="0.25">
      <c r="A8" s="65">
        <v>40</v>
      </c>
      <c r="B8" s="62">
        <v>40</v>
      </c>
      <c r="C8" s="49">
        <v>30</v>
      </c>
      <c r="D8" s="35">
        <v>35</v>
      </c>
      <c r="E8" s="35">
        <v>15</v>
      </c>
      <c r="F8" s="35">
        <v>25</v>
      </c>
      <c r="G8" s="41">
        <v>35</v>
      </c>
      <c r="H8" s="70" t="s">
        <v>66</v>
      </c>
      <c r="L8" s="43" t="s">
        <v>49</v>
      </c>
      <c r="T8" s="43"/>
      <c r="X8" s="65">
        <v>40</v>
      </c>
      <c r="Y8" s="62">
        <v>40</v>
      </c>
    </row>
    <row r="9" spans="1:25" x14ac:dyDescent="0.25">
      <c r="A9" s="65">
        <v>33</v>
      </c>
      <c r="B9" s="62">
        <v>36</v>
      </c>
      <c r="C9" s="49">
        <v>30</v>
      </c>
      <c r="D9" s="35">
        <v>35</v>
      </c>
      <c r="E9" s="35">
        <v>15</v>
      </c>
      <c r="F9" s="35">
        <v>25</v>
      </c>
      <c r="G9" s="41">
        <v>35</v>
      </c>
      <c r="H9" s="71">
        <v>5</v>
      </c>
      <c r="N9">
        <v>1</v>
      </c>
      <c r="T9" s="43"/>
      <c r="X9" s="65">
        <v>33</v>
      </c>
      <c r="Y9" s="62">
        <v>36</v>
      </c>
    </row>
    <row r="10" spans="1:25" x14ac:dyDescent="0.25">
      <c r="A10" s="65">
        <v>20</v>
      </c>
      <c r="B10" s="62">
        <v>20</v>
      </c>
      <c r="C10" s="74" t="s">
        <v>67</v>
      </c>
      <c r="D10" s="35">
        <v>35</v>
      </c>
      <c r="E10" s="35">
        <v>15</v>
      </c>
      <c r="F10" s="35">
        <v>25</v>
      </c>
      <c r="G10" s="41">
        <v>35</v>
      </c>
      <c r="H10" s="71">
        <v>5</v>
      </c>
      <c r="N10">
        <v>0</v>
      </c>
      <c r="T10" s="43"/>
      <c r="X10" s="65">
        <v>20</v>
      </c>
      <c r="Y10" s="62">
        <v>20</v>
      </c>
    </row>
    <row r="11" spans="1:25" ht="15.75" thickBot="1" x14ac:dyDescent="0.3">
      <c r="A11" s="66">
        <v>21</v>
      </c>
      <c r="B11" s="63">
        <v>24</v>
      </c>
      <c r="C11" s="73">
        <v>10</v>
      </c>
      <c r="D11" s="36" t="s">
        <v>65</v>
      </c>
      <c r="E11" s="36">
        <v>15</v>
      </c>
      <c r="F11" s="36">
        <v>25</v>
      </c>
      <c r="G11" s="40">
        <v>35</v>
      </c>
      <c r="H11" s="72">
        <v>5</v>
      </c>
      <c r="N11" s="59">
        <v>3</v>
      </c>
      <c r="O11" t="s">
        <v>50</v>
      </c>
      <c r="T11" s="43">
        <f>SUM(N9:N10)+SUM(N12:N13)</f>
        <v>4</v>
      </c>
      <c r="X11" s="66">
        <v>21</v>
      </c>
      <c r="Y11" s="63">
        <v>24</v>
      </c>
    </row>
    <row r="12" spans="1:25" x14ac:dyDescent="0.25">
      <c r="N12">
        <v>0</v>
      </c>
    </row>
    <row r="13" spans="1:25" x14ac:dyDescent="0.25">
      <c r="A13" s="43" t="s">
        <v>42</v>
      </c>
      <c r="B13" s="43"/>
      <c r="C13" s="43"/>
      <c r="D13" s="43"/>
      <c r="E13" s="43"/>
      <c r="F13" s="43"/>
      <c r="G13" s="43"/>
      <c r="H13" s="43"/>
      <c r="N13">
        <v>3</v>
      </c>
    </row>
    <row r="14" spans="1:25" x14ac:dyDescent="0.25">
      <c r="A14" s="43" t="s">
        <v>43</v>
      </c>
      <c r="B14" s="43"/>
      <c r="C14" s="68">
        <v>10</v>
      </c>
      <c r="D14" s="68">
        <v>11</v>
      </c>
      <c r="E14" s="68">
        <v>15</v>
      </c>
      <c r="F14" s="68">
        <v>25</v>
      </c>
      <c r="G14" s="68">
        <v>35</v>
      </c>
      <c r="H14" s="68">
        <v>5</v>
      </c>
    </row>
    <row r="15" spans="1:25" x14ac:dyDescent="0.25">
      <c r="A15" s="43" t="s">
        <v>44</v>
      </c>
      <c r="B15" s="43"/>
      <c r="C15" s="43" t="s">
        <v>45</v>
      </c>
      <c r="D15" s="43"/>
      <c r="E15" s="43"/>
      <c r="F15" s="43"/>
      <c r="G15" s="43"/>
      <c r="H15" s="43"/>
      <c r="L15" s="43" t="s">
        <v>53</v>
      </c>
      <c r="M15" s="43"/>
      <c r="N15" s="43"/>
      <c r="O15" s="75">
        <f>(T6+T7+T11)/SUM(C6:H6)</f>
        <v>0.25777777777777777</v>
      </c>
      <c r="Q15" t="s">
        <v>68</v>
      </c>
    </row>
    <row r="16" spans="1:25" x14ac:dyDescent="0.25">
      <c r="A16" s="43"/>
      <c r="B16" s="43"/>
      <c r="C16" s="43"/>
      <c r="D16" s="43"/>
      <c r="E16" s="43"/>
      <c r="F16" s="43"/>
      <c r="G16" s="43"/>
      <c r="H16" s="43"/>
    </row>
    <row r="19" spans="1:20" ht="15.75" thickBot="1" x14ac:dyDescent="0.3">
      <c r="A19" t="s">
        <v>55</v>
      </c>
    </row>
    <row r="20" spans="1:20" ht="15.75" thickBot="1" x14ac:dyDescent="0.3">
      <c r="A20" s="5"/>
      <c r="B20" s="5"/>
      <c r="C20" s="143" t="s">
        <v>35</v>
      </c>
      <c r="D20" s="144"/>
      <c r="E20" s="144"/>
      <c r="F20" s="144"/>
      <c r="G20" s="144"/>
      <c r="H20" s="145"/>
      <c r="L20" t="s">
        <v>46</v>
      </c>
      <c r="O20">
        <v>20</v>
      </c>
      <c r="T20" t="s">
        <v>51</v>
      </c>
    </row>
    <row r="21" spans="1:20" ht="15.75" thickBot="1" x14ac:dyDescent="0.3">
      <c r="A21" s="51" t="s">
        <v>33</v>
      </c>
      <c r="B21" s="51" t="s">
        <v>34</v>
      </c>
      <c r="C21" s="55">
        <v>30</v>
      </c>
      <c r="D21" s="47">
        <v>35</v>
      </c>
      <c r="E21" s="47">
        <v>15</v>
      </c>
      <c r="F21" s="47">
        <v>25</v>
      </c>
      <c r="G21" s="47">
        <v>75</v>
      </c>
      <c r="H21" s="48">
        <v>45</v>
      </c>
      <c r="L21" t="s">
        <v>47</v>
      </c>
      <c r="N21">
        <f>MOD(C29,4)</f>
        <v>2</v>
      </c>
      <c r="O21">
        <f t="shared" ref="O21" si="1">MOD(D29,4)</f>
        <v>3</v>
      </c>
      <c r="P21">
        <f t="shared" ref="P21" si="2">MOD(E29,4)</f>
        <v>3</v>
      </c>
      <c r="Q21">
        <f t="shared" ref="Q21" si="3">MOD(F29,4)</f>
        <v>1</v>
      </c>
      <c r="R21">
        <f t="shared" ref="R21" si="4">MOD(G29,4)</f>
        <v>3</v>
      </c>
      <c r="S21">
        <f t="shared" ref="S21" si="5">MOD(H29,4)</f>
        <v>1</v>
      </c>
      <c r="T21">
        <f>SUM(N21:S21)</f>
        <v>13</v>
      </c>
    </row>
    <row r="22" spans="1:20" x14ac:dyDescent="0.25">
      <c r="A22" s="52">
        <v>39</v>
      </c>
      <c r="B22" s="52">
        <v>40</v>
      </c>
      <c r="C22" s="57">
        <v>30</v>
      </c>
      <c r="D22" s="56">
        <v>35</v>
      </c>
      <c r="E22" s="56">
        <v>15</v>
      </c>
      <c r="F22" s="56">
        <v>25</v>
      </c>
      <c r="G22" s="56" t="s">
        <v>40</v>
      </c>
      <c r="H22" s="58">
        <v>45</v>
      </c>
      <c r="I22" s="44"/>
      <c r="L22" t="s">
        <v>48</v>
      </c>
      <c r="N22">
        <v>10</v>
      </c>
      <c r="O22">
        <v>11</v>
      </c>
      <c r="P22">
        <v>15</v>
      </c>
      <c r="Q22">
        <v>0</v>
      </c>
      <c r="R22">
        <v>0</v>
      </c>
      <c r="S22">
        <v>5</v>
      </c>
      <c r="T22">
        <f>SUM(N22:S22)</f>
        <v>41</v>
      </c>
    </row>
    <row r="23" spans="1:20" x14ac:dyDescent="0.25">
      <c r="A23" s="53">
        <v>40</v>
      </c>
      <c r="B23" s="53">
        <v>40</v>
      </c>
      <c r="C23" s="49">
        <v>30</v>
      </c>
      <c r="D23" s="35">
        <v>35</v>
      </c>
      <c r="E23" s="35">
        <v>15</v>
      </c>
      <c r="F23" s="35">
        <v>25</v>
      </c>
      <c r="G23" s="35">
        <v>35</v>
      </c>
      <c r="H23" s="45" t="s">
        <v>41</v>
      </c>
      <c r="L23" t="s">
        <v>49</v>
      </c>
    </row>
    <row r="24" spans="1:20" x14ac:dyDescent="0.25">
      <c r="A24" s="53">
        <v>33</v>
      </c>
      <c r="B24" s="53">
        <v>36</v>
      </c>
      <c r="C24" s="49">
        <v>30</v>
      </c>
      <c r="D24" s="35">
        <v>35</v>
      </c>
      <c r="E24" s="35">
        <v>15</v>
      </c>
      <c r="F24" s="35">
        <v>25</v>
      </c>
      <c r="G24" s="35">
        <v>35</v>
      </c>
      <c r="H24" s="45">
        <v>5</v>
      </c>
      <c r="N24">
        <v>1</v>
      </c>
    </row>
    <row r="25" spans="1:20" x14ac:dyDescent="0.25">
      <c r="A25" s="53">
        <v>20</v>
      </c>
      <c r="B25" s="53">
        <v>20</v>
      </c>
      <c r="C25" s="49" t="s">
        <v>38</v>
      </c>
      <c r="D25" s="35">
        <v>35</v>
      </c>
      <c r="E25" s="35">
        <v>15</v>
      </c>
      <c r="F25" s="35">
        <v>25</v>
      </c>
      <c r="G25" s="35">
        <v>35</v>
      </c>
      <c r="H25" s="45">
        <v>5</v>
      </c>
      <c r="N25">
        <v>0</v>
      </c>
    </row>
    <row r="26" spans="1:20" ht="15.75" thickBot="1" x14ac:dyDescent="0.3">
      <c r="A26" s="54">
        <v>21</v>
      </c>
      <c r="B26" s="54">
        <v>24</v>
      </c>
      <c r="C26" s="50">
        <v>10</v>
      </c>
      <c r="D26" s="36" t="s">
        <v>39</v>
      </c>
      <c r="E26" s="36">
        <v>15</v>
      </c>
      <c r="F26" s="36">
        <v>25</v>
      </c>
      <c r="G26" s="36">
        <v>35</v>
      </c>
      <c r="H26" s="46">
        <v>5</v>
      </c>
      <c r="N26" s="59">
        <v>3</v>
      </c>
      <c r="O26" t="s">
        <v>50</v>
      </c>
      <c r="T26">
        <f>SUM(N24:N25)+SUM(N27:N28)</f>
        <v>4</v>
      </c>
    </row>
    <row r="27" spans="1:20" x14ac:dyDescent="0.25">
      <c r="N27">
        <v>0</v>
      </c>
    </row>
    <row r="28" spans="1:20" x14ac:dyDescent="0.25">
      <c r="A28" t="s">
        <v>42</v>
      </c>
      <c r="N28">
        <v>3</v>
      </c>
    </row>
    <row r="29" spans="1:20" x14ac:dyDescent="0.25">
      <c r="A29" t="s">
        <v>43</v>
      </c>
      <c r="C29" s="39">
        <v>10</v>
      </c>
      <c r="D29" s="39">
        <v>11</v>
      </c>
      <c r="E29" s="39">
        <v>15</v>
      </c>
      <c r="F29" s="39">
        <v>25</v>
      </c>
      <c r="G29" s="39">
        <v>35</v>
      </c>
      <c r="H29" s="39">
        <v>5</v>
      </c>
    </row>
    <row r="30" spans="1:20" x14ac:dyDescent="0.25">
      <c r="A30" t="s">
        <v>44</v>
      </c>
      <c r="C30" t="s">
        <v>45</v>
      </c>
      <c r="L30" t="s">
        <v>53</v>
      </c>
      <c r="O30" s="60">
        <f>(T21+T22+T26)/SUM(C21:H21)</f>
        <v>0.25777777777777777</v>
      </c>
      <c r="Q30" t="s">
        <v>54</v>
      </c>
    </row>
    <row r="33" spans="1:20" ht="15.75" thickBot="1" x14ac:dyDescent="0.3">
      <c r="A33" t="s">
        <v>56</v>
      </c>
    </row>
    <row r="34" spans="1:20" ht="15.75" thickBot="1" x14ac:dyDescent="0.3">
      <c r="A34" s="5"/>
      <c r="B34" s="5"/>
      <c r="C34" s="143" t="s">
        <v>35</v>
      </c>
      <c r="D34" s="144"/>
      <c r="E34" s="144"/>
      <c r="F34" s="144"/>
      <c r="G34" s="144"/>
      <c r="H34" s="145"/>
      <c r="L34" t="s">
        <v>46</v>
      </c>
      <c r="O34">
        <v>20</v>
      </c>
      <c r="T34" t="s">
        <v>51</v>
      </c>
    </row>
    <row r="35" spans="1:20" ht="15.75" thickBot="1" x14ac:dyDescent="0.3">
      <c r="A35" s="51" t="s">
        <v>33</v>
      </c>
      <c r="B35" s="51" t="s">
        <v>34</v>
      </c>
      <c r="C35" s="55">
        <v>30</v>
      </c>
      <c r="D35" s="47">
        <v>35</v>
      </c>
      <c r="E35" s="47">
        <v>15</v>
      </c>
      <c r="F35" s="47">
        <v>25</v>
      </c>
      <c r="G35" s="47">
        <v>75</v>
      </c>
      <c r="H35" s="48">
        <v>45</v>
      </c>
      <c r="L35" t="s">
        <v>47</v>
      </c>
      <c r="N35">
        <f>MOD(C43,4)</f>
        <v>2</v>
      </c>
      <c r="O35">
        <f t="shared" ref="O35" si="6">MOD(D43,4)</f>
        <v>3</v>
      </c>
      <c r="P35">
        <f t="shared" ref="P35" si="7">MOD(E43,4)</f>
        <v>3</v>
      </c>
      <c r="Q35">
        <f t="shared" ref="Q35" si="8">MOD(F43,4)</f>
        <v>1</v>
      </c>
      <c r="R35">
        <f t="shared" ref="R35" si="9">MOD(G43,4)</f>
        <v>3</v>
      </c>
      <c r="S35">
        <f t="shared" ref="S35" si="10">MOD(H43,4)</f>
        <v>1</v>
      </c>
      <c r="T35">
        <f>SUM(N35:S35)</f>
        <v>13</v>
      </c>
    </row>
    <row r="36" spans="1:20" x14ac:dyDescent="0.25">
      <c r="A36" s="52">
        <v>39</v>
      </c>
      <c r="B36" s="52">
        <v>40</v>
      </c>
      <c r="C36" s="57">
        <v>30</v>
      </c>
      <c r="D36" s="56">
        <v>35</v>
      </c>
      <c r="E36" s="56">
        <v>15</v>
      </c>
      <c r="F36" s="56">
        <v>25</v>
      </c>
      <c r="G36" s="56">
        <v>75</v>
      </c>
      <c r="H36" s="58">
        <v>45</v>
      </c>
      <c r="I36" s="44"/>
      <c r="L36" t="s">
        <v>48</v>
      </c>
      <c r="N36">
        <v>10</v>
      </c>
      <c r="O36">
        <v>11</v>
      </c>
      <c r="P36">
        <v>15</v>
      </c>
      <c r="Q36">
        <v>0</v>
      </c>
      <c r="R36">
        <v>0</v>
      </c>
      <c r="S36">
        <v>5</v>
      </c>
      <c r="T36">
        <f>SUM(N36:S36)</f>
        <v>41</v>
      </c>
    </row>
    <row r="37" spans="1:20" x14ac:dyDescent="0.25">
      <c r="A37" s="53">
        <v>40</v>
      </c>
      <c r="B37" s="53">
        <v>40</v>
      </c>
      <c r="C37" s="49">
        <v>30</v>
      </c>
      <c r="D37" s="35">
        <v>35</v>
      </c>
      <c r="E37" s="35">
        <v>15</v>
      </c>
      <c r="F37" s="35">
        <v>25</v>
      </c>
      <c r="G37" s="35">
        <v>35</v>
      </c>
      <c r="H37" s="45" t="s">
        <v>41</v>
      </c>
      <c r="L37" t="s">
        <v>49</v>
      </c>
    </row>
    <row r="38" spans="1:20" x14ac:dyDescent="0.25">
      <c r="A38" s="53">
        <v>33</v>
      </c>
      <c r="B38" s="53">
        <v>36</v>
      </c>
      <c r="C38" s="49">
        <v>30</v>
      </c>
      <c r="D38" s="35">
        <v>35</v>
      </c>
      <c r="E38" s="35">
        <v>15</v>
      </c>
      <c r="F38" s="35">
        <v>25</v>
      </c>
      <c r="G38" s="35">
        <v>35</v>
      </c>
      <c r="H38" s="45">
        <v>5</v>
      </c>
      <c r="N38">
        <v>1</v>
      </c>
    </row>
    <row r="39" spans="1:20" x14ac:dyDescent="0.25">
      <c r="A39" s="53">
        <v>20</v>
      </c>
      <c r="B39" s="53">
        <v>20</v>
      </c>
      <c r="C39" s="49" t="s">
        <v>38</v>
      </c>
      <c r="D39" s="35">
        <v>35</v>
      </c>
      <c r="E39" s="35">
        <v>15</v>
      </c>
      <c r="F39" s="35">
        <v>25</v>
      </c>
      <c r="G39" s="35">
        <v>35</v>
      </c>
      <c r="H39" s="45">
        <v>5</v>
      </c>
      <c r="N39">
        <v>0</v>
      </c>
    </row>
    <row r="40" spans="1:20" ht="15.75" thickBot="1" x14ac:dyDescent="0.3">
      <c r="A40" s="54">
        <v>21</v>
      </c>
      <c r="B40" s="54">
        <v>24</v>
      </c>
      <c r="C40" s="50">
        <v>10</v>
      </c>
      <c r="D40" s="36" t="s">
        <v>39</v>
      </c>
      <c r="E40" s="36">
        <v>15</v>
      </c>
      <c r="F40" s="36">
        <v>25</v>
      </c>
      <c r="G40" s="36">
        <v>35</v>
      </c>
      <c r="H40" s="46">
        <v>5</v>
      </c>
      <c r="N40" s="59">
        <v>3</v>
      </c>
      <c r="O40" t="s">
        <v>50</v>
      </c>
      <c r="T40">
        <f>SUM(N38:N39)+SUM(N41:N42)</f>
        <v>4</v>
      </c>
    </row>
    <row r="41" spans="1:20" x14ac:dyDescent="0.25">
      <c r="N41">
        <v>0</v>
      </c>
    </row>
    <row r="42" spans="1:20" x14ac:dyDescent="0.25">
      <c r="A42" t="s">
        <v>42</v>
      </c>
      <c r="N42">
        <v>3</v>
      </c>
    </row>
    <row r="43" spans="1:20" x14ac:dyDescent="0.25">
      <c r="A43" t="s">
        <v>43</v>
      </c>
      <c r="C43" s="39">
        <v>6</v>
      </c>
      <c r="D43" s="39">
        <v>35</v>
      </c>
      <c r="E43" s="39">
        <v>15</v>
      </c>
      <c r="F43" s="39">
        <v>5</v>
      </c>
      <c r="G43" s="39">
        <v>35</v>
      </c>
      <c r="H43" s="39">
        <v>5</v>
      </c>
    </row>
    <row r="44" spans="1:20" x14ac:dyDescent="0.25">
      <c r="A44" t="s">
        <v>44</v>
      </c>
      <c r="C44" t="s">
        <v>45</v>
      </c>
      <c r="L44" t="s">
        <v>53</v>
      </c>
      <c r="O44" s="60">
        <f>(T35+T36+T40)/SUM(C35:H35)</f>
        <v>0.25777777777777777</v>
      </c>
      <c r="Q44" t="s">
        <v>54</v>
      </c>
    </row>
    <row r="48" spans="1:20" ht="15.75" thickBot="1" x14ac:dyDescent="0.3">
      <c r="A48" t="s">
        <v>57</v>
      </c>
    </row>
    <row r="49" spans="1:20" ht="15.75" thickBot="1" x14ac:dyDescent="0.3">
      <c r="A49" s="5"/>
      <c r="B49" s="5"/>
      <c r="C49" s="143" t="s">
        <v>35</v>
      </c>
      <c r="D49" s="144"/>
      <c r="E49" s="144"/>
      <c r="F49" s="144"/>
      <c r="G49" s="144"/>
      <c r="H49" s="145"/>
      <c r="L49" t="s">
        <v>46</v>
      </c>
      <c r="O49">
        <v>20</v>
      </c>
      <c r="T49" t="s">
        <v>51</v>
      </c>
    </row>
    <row r="50" spans="1:20" ht="15.75" thickBot="1" x14ac:dyDescent="0.3">
      <c r="A50" s="51" t="s">
        <v>33</v>
      </c>
      <c r="B50" s="51" t="s">
        <v>34</v>
      </c>
      <c r="C50" s="55">
        <v>30</v>
      </c>
      <c r="D50" s="47">
        <v>35</v>
      </c>
      <c r="E50" s="47">
        <v>15</v>
      </c>
      <c r="F50" s="47">
        <v>25</v>
      </c>
      <c r="G50" s="47">
        <v>75</v>
      </c>
      <c r="H50" s="48">
        <v>45</v>
      </c>
      <c r="L50" t="s">
        <v>47</v>
      </c>
      <c r="N50">
        <f>MOD(C58,4)</f>
        <v>2</v>
      </c>
      <c r="O50">
        <f t="shared" ref="O50" si="11">MOD(D58,4)</f>
        <v>3</v>
      </c>
      <c r="P50">
        <f t="shared" ref="P50" si="12">MOD(E58,4)</f>
        <v>3</v>
      </c>
      <c r="Q50">
        <f t="shared" ref="Q50" si="13">MOD(F58,4)</f>
        <v>1</v>
      </c>
      <c r="R50">
        <f t="shared" ref="R50" si="14">MOD(G58,4)</f>
        <v>3</v>
      </c>
      <c r="S50">
        <f t="shared" ref="S50" si="15">MOD(H58,4)</f>
        <v>1</v>
      </c>
      <c r="T50">
        <f>SUM(N50:S50)</f>
        <v>13</v>
      </c>
    </row>
    <row r="51" spans="1:20" x14ac:dyDescent="0.25">
      <c r="A51" s="52">
        <v>39</v>
      </c>
      <c r="B51" s="52">
        <v>40</v>
      </c>
      <c r="C51" s="57">
        <v>30</v>
      </c>
      <c r="D51" s="56">
        <v>35</v>
      </c>
      <c r="E51" s="56">
        <v>15</v>
      </c>
      <c r="F51" s="56">
        <v>25</v>
      </c>
      <c r="G51" s="56" t="s">
        <v>40</v>
      </c>
      <c r="H51" s="58">
        <v>45</v>
      </c>
      <c r="I51" s="44"/>
      <c r="L51" t="s">
        <v>48</v>
      </c>
      <c r="N51">
        <v>10</v>
      </c>
      <c r="O51">
        <v>11</v>
      </c>
      <c r="P51">
        <v>15</v>
      </c>
      <c r="Q51">
        <v>0</v>
      </c>
      <c r="R51">
        <v>0</v>
      </c>
      <c r="S51">
        <v>5</v>
      </c>
      <c r="T51">
        <f>SUM(N51:S51)</f>
        <v>41</v>
      </c>
    </row>
    <row r="52" spans="1:20" x14ac:dyDescent="0.25">
      <c r="A52" s="53">
        <v>40</v>
      </c>
      <c r="B52" s="53">
        <v>40</v>
      </c>
      <c r="C52" s="49">
        <v>30</v>
      </c>
      <c r="D52" s="35">
        <v>35</v>
      </c>
      <c r="E52" s="35">
        <v>15</v>
      </c>
      <c r="F52" s="35">
        <v>25</v>
      </c>
      <c r="G52" s="35">
        <v>35</v>
      </c>
      <c r="H52" s="45" t="s">
        <v>41</v>
      </c>
      <c r="L52" t="s">
        <v>49</v>
      </c>
    </row>
    <row r="53" spans="1:20" x14ac:dyDescent="0.25">
      <c r="A53" s="53">
        <v>33</v>
      </c>
      <c r="B53" s="53">
        <v>36</v>
      </c>
      <c r="C53" s="49">
        <v>30</v>
      </c>
      <c r="D53" s="35">
        <v>35</v>
      </c>
      <c r="E53" s="35">
        <v>15</v>
      </c>
      <c r="F53" s="35">
        <v>25</v>
      </c>
      <c r="G53" s="35">
        <v>35</v>
      </c>
      <c r="H53" s="45">
        <v>5</v>
      </c>
      <c r="N53">
        <v>1</v>
      </c>
    </row>
    <row r="54" spans="1:20" x14ac:dyDescent="0.25">
      <c r="A54" s="53">
        <v>20</v>
      </c>
      <c r="B54" s="53">
        <v>20</v>
      </c>
      <c r="C54" s="49" t="s">
        <v>38</v>
      </c>
      <c r="D54" s="35">
        <v>35</v>
      </c>
      <c r="E54" s="35">
        <v>15</v>
      </c>
      <c r="F54" s="35">
        <v>25</v>
      </c>
      <c r="G54" s="35">
        <v>35</v>
      </c>
      <c r="H54" s="45">
        <v>5</v>
      </c>
      <c r="N54">
        <v>0</v>
      </c>
    </row>
    <row r="55" spans="1:20" ht="15.75" thickBot="1" x14ac:dyDescent="0.3">
      <c r="A55" s="54">
        <v>21</v>
      </c>
      <c r="B55" s="54">
        <v>24</v>
      </c>
      <c r="C55" s="50">
        <v>10</v>
      </c>
      <c r="D55" s="36" t="s">
        <v>39</v>
      </c>
      <c r="E55" s="36">
        <v>15</v>
      </c>
      <c r="F55" s="36">
        <v>25</v>
      </c>
      <c r="G55" s="36">
        <v>35</v>
      </c>
      <c r="H55" s="46">
        <v>5</v>
      </c>
      <c r="N55" s="59">
        <v>3</v>
      </c>
      <c r="O55" t="s">
        <v>50</v>
      </c>
      <c r="T55">
        <f>SUM(N53:N54)+SUM(N56:N57)</f>
        <v>4</v>
      </c>
    </row>
    <row r="56" spans="1:20" x14ac:dyDescent="0.25">
      <c r="N56">
        <v>0</v>
      </c>
    </row>
    <row r="57" spans="1:20" x14ac:dyDescent="0.25">
      <c r="A57" t="s">
        <v>42</v>
      </c>
      <c r="N57">
        <v>3</v>
      </c>
    </row>
    <row r="58" spans="1:20" x14ac:dyDescent="0.25">
      <c r="A58" t="s">
        <v>43</v>
      </c>
      <c r="C58" s="39">
        <v>10</v>
      </c>
      <c r="D58" s="39">
        <v>11</v>
      </c>
      <c r="E58" s="39">
        <v>15</v>
      </c>
      <c r="F58" s="39">
        <v>25</v>
      </c>
      <c r="G58" s="39">
        <v>35</v>
      </c>
      <c r="H58" s="39">
        <v>5</v>
      </c>
    </row>
    <row r="59" spans="1:20" x14ac:dyDescent="0.25">
      <c r="A59" t="s">
        <v>44</v>
      </c>
      <c r="C59" t="s">
        <v>45</v>
      </c>
      <c r="L59" t="s">
        <v>53</v>
      </c>
      <c r="O59" s="60">
        <f>(T50+T51+T55)/SUM(C50:H50)</f>
        <v>0.25777777777777777</v>
      </c>
      <c r="Q59" t="s">
        <v>54</v>
      </c>
    </row>
  </sheetData>
  <mergeCells count="4">
    <mergeCell ref="C49:H49"/>
    <mergeCell ref="C5:H5"/>
    <mergeCell ref="C20:H20"/>
    <mergeCell ref="C34:H34"/>
  </mergeCells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K50" sqref="K50"/>
    </sheetView>
  </sheetViews>
  <sheetFormatPr defaultRowHeight="15" x14ac:dyDescent="0.25"/>
  <sheetData>
    <row r="1" spans="1:15" x14ac:dyDescent="0.25">
      <c r="A1" s="35"/>
      <c r="B1" s="138" t="s">
        <v>21</v>
      </c>
      <c r="C1" s="138"/>
      <c r="D1" s="138"/>
      <c r="E1" s="42"/>
      <c r="F1" s="35"/>
      <c r="G1" s="138" t="s">
        <v>22</v>
      </c>
      <c r="H1" s="138"/>
      <c r="I1" s="138"/>
      <c r="L1" s="138" t="s">
        <v>23</v>
      </c>
      <c r="M1" s="138"/>
      <c r="N1" s="138"/>
    </row>
    <row r="2" spans="1:15" x14ac:dyDescent="0.25">
      <c r="A2" s="35"/>
      <c r="B2" s="35" t="s">
        <v>18</v>
      </c>
      <c r="C2" s="35" t="s">
        <v>19</v>
      </c>
      <c r="D2" s="35" t="s">
        <v>20</v>
      </c>
      <c r="F2" s="35"/>
      <c r="G2" s="35" t="s">
        <v>18</v>
      </c>
      <c r="H2" s="35" t="s">
        <v>19</v>
      </c>
      <c r="I2" s="35" t="s">
        <v>20</v>
      </c>
      <c r="L2" s="35" t="s">
        <v>18</v>
      </c>
      <c r="M2" s="35" t="s">
        <v>19</v>
      </c>
      <c r="N2" s="35" t="s">
        <v>20</v>
      </c>
    </row>
    <row r="3" spans="1:15" x14ac:dyDescent="0.25">
      <c r="A3" s="35" t="s">
        <v>13</v>
      </c>
      <c r="B3" s="35">
        <v>4</v>
      </c>
      <c r="C3" s="35">
        <v>4</v>
      </c>
      <c r="D3" s="35">
        <v>5</v>
      </c>
      <c r="F3" s="35" t="s">
        <v>13</v>
      </c>
      <c r="G3" s="35">
        <v>2</v>
      </c>
      <c r="H3" s="35">
        <v>2</v>
      </c>
      <c r="I3" s="35">
        <v>3</v>
      </c>
      <c r="L3" s="35">
        <v>2</v>
      </c>
      <c r="M3" s="35">
        <v>2</v>
      </c>
      <c r="N3" s="35">
        <v>2</v>
      </c>
    </row>
    <row r="4" spans="1:15" x14ac:dyDescent="0.25">
      <c r="A4" s="35" t="s">
        <v>14</v>
      </c>
      <c r="B4" s="35">
        <v>1</v>
      </c>
      <c r="C4" s="35">
        <v>4</v>
      </c>
      <c r="D4" s="35">
        <v>3</v>
      </c>
      <c r="F4" s="35" t="s">
        <v>14</v>
      </c>
      <c r="G4" s="35">
        <v>1</v>
      </c>
      <c r="H4" s="35">
        <v>2</v>
      </c>
      <c r="I4" s="35">
        <v>2</v>
      </c>
      <c r="L4" s="35">
        <v>0</v>
      </c>
      <c r="M4" s="35">
        <v>2</v>
      </c>
      <c r="N4" s="35">
        <v>1</v>
      </c>
    </row>
    <row r="5" spans="1:15" x14ac:dyDescent="0.25">
      <c r="A5" s="35" t="s">
        <v>15</v>
      </c>
      <c r="B5" s="35">
        <v>6</v>
      </c>
      <c r="C5" s="35">
        <v>7</v>
      </c>
      <c r="D5" s="35">
        <v>7</v>
      </c>
      <c r="F5" s="35" t="s">
        <v>15</v>
      </c>
      <c r="G5" s="35">
        <v>0</v>
      </c>
      <c r="H5" s="35">
        <v>1</v>
      </c>
      <c r="I5" s="35">
        <v>3</v>
      </c>
      <c r="L5" s="35">
        <v>6</v>
      </c>
      <c r="M5" s="35">
        <v>6</v>
      </c>
      <c r="N5" s="35">
        <v>4</v>
      </c>
    </row>
    <row r="6" spans="1:15" x14ac:dyDescent="0.25">
      <c r="A6" s="35" t="s">
        <v>16</v>
      </c>
      <c r="B6" s="35">
        <v>3</v>
      </c>
      <c r="C6" s="35">
        <v>7</v>
      </c>
      <c r="D6" s="35">
        <v>10</v>
      </c>
      <c r="F6" s="35" t="s">
        <v>16</v>
      </c>
      <c r="G6" s="35">
        <v>2</v>
      </c>
      <c r="H6" s="35">
        <v>1</v>
      </c>
      <c r="I6" s="35">
        <v>2</v>
      </c>
      <c r="L6" s="35">
        <v>1</v>
      </c>
      <c r="M6" s="35">
        <v>6</v>
      </c>
      <c r="N6" s="35">
        <v>8</v>
      </c>
    </row>
    <row r="8" spans="1:15" x14ac:dyDescent="0.25">
      <c r="D8" t="s">
        <v>24</v>
      </c>
      <c r="F8">
        <v>10</v>
      </c>
      <c r="G8">
        <v>9</v>
      </c>
      <c r="H8">
        <v>12</v>
      </c>
    </row>
    <row r="10" spans="1:15" x14ac:dyDescent="0.25">
      <c r="B10" t="s">
        <v>58</v>
      </c>
      <c r="F10" s="138" t="s">
        <v>22</v>
      </c>
      <c r="G10" s="138"/>
      <c r="H10" s="138"/>
      <c r="M10" s="138" t="s">
        <v>23</v>
      </c>
      <c r="N10" s="138"/>
      <c r="O10" s="138"/>
    </row>
    <row r="11" spans="1:15" x14ac:dyDescent="0.25">
      <c r="F11" s="35" t="s">
        <v>18</v>
      </c>
      <c r="G11" s="35" t="s">
        <v>19</v>
      </c>
      <c r="H11" s="35" t="s">
        <v>20</v>
      </c>
      <c r="J11" t="s">
        <v>18</v>
      </c>
      <c r="K11">
        <v>5</v>
      </c>
      <c r="M11" s="35" t="s">
        <v>18</v>
      </c>
      <c r="N11" s="35" t="s">
        <v>19</v>
      </c>
      <c r="O11" s="35" t="s">
        <v>20</v>
      </c>
    </row>
    <row r="12" spans="1:15" x14ac:dyDescent="0.25">
      <c r="E12" s="35" t="s">
        <v>13</v>
      </c>
      <c r="F12" s="35">
        <v>2</v>
      </c>
      <c r="G12" s="35">
        <v>2</v>
      </c>
      <c r="H12" s="35">
        <v>3</v>
      </c>
      <c r="J12" t="s">
        <v>19</v>
      </c>
      <c r="K12">
        <v>3</v>
      </c>
      <c r="M12" s="35">
        <v>2</v>
      </c>
      <c r="N12" s="35">
        <v>2</v>
      </c>
      <c r="O12" s="35">
        <v>2</v>
      </c>
    </row>
    <row r="13" spans="1:15" x14ac:dyDescent="0.25">
      <c r="E13" s="41" t="s">
        <v>14</v>
      </c>
      <c r="F13" s="41">
        <v>1</v>
      </c>
      <c r="G13" s="41">
        <v>2</v>
      </c>
      <c r="H13" s="41">
        <v>2</v>
      </c>
      <c r="J13" t="s">
        <v>20</v>
      </c>
      <c r="K13">
        <v>2</v>
      </c>
      <c r="M13" s="35">
        <v>0</v>
      </c>
      <c r="N13" s="35">
        <v>2</v>
      </c>
      <c r="O13" s="35">
        <v>1</v>
      </c>
    </row>
    <row r="14" spans="1:15" x14ac:dyDescent="0.25">
      <c r="E14" s="35" t="s">
        <v>15</v>
      </c>
      <c r="F14" s="35">
        <v>0</v>
      </c>
      <c r="G14" s="35">
        <v>1</v>
      </c>
      <c r="H14" s="35">
        <v>3</v>
      </c>
      <c r="M14" s="35">
        <v>6</v>
      </c>
      <c r="N14" s="35">
        <v>6</v>
      </c>
      <c r="O14" s="35">
        <v>4</v>
      </c>
    </row>
    <row r="15" spans="1:15" ht="15.75" thickBot="1" x14ac:dyDescent="0.3">
      <c r="E15" s="35" t="s">
        <v>16</v>
      </c>
      <c r="F15" s="36">
        <v>2</v>
      </c>
      <c r="G15" s="36">
        <v>1</v>
      </c>
      <c r="H15" s="36">
        <v>2</v>
      </c>
      <c r="M15" s="35">
        <v>1</v>
      </c>
      <c r="N15" s="35">
        <v>6</v>
      </c>
      <c r="O15" s="35">
        <v>8</v>
      </c>
    </row>
    <row r="16" spans="1:15" x14ac:dyDescent="0.25">
      <c r="F16" s="37">
        <f>SUM(F12:F15)</f>
        <v>5</v>
      </c>
      <c r="G16" s="37">
        <f>SUM(G12:G15)</f>
        <v>6</v>
      </c>
      <c r="H16" s="37">
        <f>SUM(H12:H15)</f>
        <v>10</v>
      </c>
    </row>
    <row r="19" spans="2:15" x14ac:dyDescent="0.25">
      <c r="B19" t="s">
        <v>59</v>
      </c>
      <c r="F19" s="138" t="s">
        <v>22</v>
      </c>
      <c r="G19" s="138"/>
      <c r="H19" s="138"/>
      <c r="M19" s="138" t="s">
        <v>23</v>
      </c>
      <c r="N19" s="138"/>
      <c r="O19" s="138"/>
    </row>
    <row r="20" spans="2:15" x14ac:dyDescent="0.25">
      <c r="F20" s="35" t="s">
        <v>18</v>
      </c>
      <c r="G20" s="35" t="s">
        <v>19</v>
      </c>
      <c r="H20" s="35" t="s">
        <v>20</v>
      </c>
      <c r="J20" t="s">
        <v>18</v>
      </c>
      <c r="K20">
        <v>8</v>
      </c>
      <c r="M20" s="35" t="s">
        <v>18</v>
      </c>
      <c r="N20" s="35" t="s">
        <v>19</v>
      </c>
      <c r="O20" s="35" t="s">
        <v>20</v>
      </c>
    </row>
    <row r="21" spans="2:15" x14ac:dyDescent="0.25">
      <c r="E21" s="41" t="s">
        <v>13</v>
      </c>
      <c r="F21" s="41">
        <v>2</v>
      </c>
      <c r="G21" s="41">
        <v>2</v>
      </c>
      <c r="H21" s="41">
        <v>3</v>
      </c>
      <c r="J21" t="s">
        <v>19</v>
      </c>
      <c r="K21">
        <v>7</v>
      </c>
      <c r="M21" s="35">
        <v>2</v>
      </c>
      <c r="N21" s="35">
        <v>2</v>
      </c>
      <c r="O21" s="35">
        <v>2</v>
      </c>
    </row>
    <row r="22" spans="2:15" x14ac:dyDescent="0.25">
      <c r="E22" s="35" t="s">
        <v>15</v>
      </c>
      <c r="F22" s="35">
        <v>0</v>
      </c>
      <c r="G22" s="35">
        <v>1</v>
      </c>
      <c r="H22" s="35">
        <v>3</v>
      </c>
      <c r="J22" t="s">
        <v>20</v>
      </c>
      <c r="K22">
        <v>7</v>
      </c>
      <c r="M22" s="35">
        <v>6</v>
      </c>
      <c r="N22" s="35">
        <v>6</v>
      </c>
      <c r="O22" s="35">
        <v>4</v>
      </c>
    </row>
    <row r="23" spans="2:15" ht="15.75" thickBot="1" x14ac:dyDescent="0.3">
      <c r="E23" s="35" t="s">
        <v>16</v>
      </c>
      <c r="F23" s="36">
        <v>2</v>
      </c>
      <c r="G23" s="36">
        <v>1</v>
      </c>
      <c r="H23" s="36">
        <v>2</v>
      </c>
      <c r="M23" s="35">
        <v>1</v>
      </c>
      <c r="N23" s="35">
        <v>6</v>
      </c>
      <c r="O23" s="35">
        <v>8</v>
      </c>
    </row>
    <row r="24" spans="2:15" x14ac:dyDescent="0.25">
      <c r="F24" s="37">
        <f>SUM(F21:F23)</f>
        <v>4</v>
      </c>
      <c r="G24" s="37">
        <f>SUM(G21:G23)</f>
        <v>4</v>
      </c>
      <c r="H24" s="37">
        <f>SUM(H21:H23)</f>
        <v>8</v>
      </c>
    </row>
    <row r="27" spans="2:15" x14ac:dyDescent="0.25">
      <c r="B27" t="s">
        <v>60</v>
      </c>
      <c r="F27" s="138" t="s">
        <v>22</v>
      </c>
      <c r="G27" s="138"/>
      <c r="H27" s="138"/>
      <c r="M27" s="138" t="s">
        <v>23</v>
      </c>
      <c r="N27" s="138"/>
      <c r="O27" s="138"/>
    </row>
    <row r="28" spans="2:15" x14ac:dyDescent="0.25">
      <c r="F28" s="35" t="s">
        <v>18</v>
      </c>
      <c r="G28" s="35" t="s">
        <v>19</v>
      </c>
      <c r="H28" s="35" t="s">
        <v>20</v>
      </c>
      <c r="J28" t="s">
        <v>18</v>
      </c>
      <c r="K28">
        <v>8</v>
      </c>
      <c r="M28" s="35" t="s">
        <v>18</v>
      </c>
      <c r="N28" s="35" t="s">
        <v>19</v>
      </c>
      <c r="O28" s="35" t="s">
        <v>20</v>
      </c>
    </row>
    <row r="29" spans="2:15" x14ac:dyDescent="0.25">
      <c r="E29" s="41" t="s">
        <v>15</v>
      </c>
      <c r="F29" s="41">
        <v>0</v>
      </c>
      <c r="G29" s="41">
        <v>1</v>
      </c>
      <c r="H29" s="41">
        <v>3</v>
      </c>
      <c r="J29" t="s">
        <v>19</v>
      </c>
      <c r="K29">
        <v>8</v>
      </c>
      <c r="M29" s="35">
        <v>6</v>
      </c>
      <c r="N29" s="35">
        <v>6</v>
      </c>
      <c r="O29" s="35">
        <v>4</v>
      </c>
    </row>
    <row r="30" spans="2:15" ht="15.75" thickBot="1" x14ac:dyDescent="0.3">
      <c r="E30" s="35" t="s">
        <v>16</v>
      </c>
      <c r="F30" s="36">
        <v>2</v>
      </c>
      <c r="G30" s="36">
        <v>1</v>
      </c>
      <c r="H30" s="36">
        <v>2</v>
      </c>
      <c r="J30" t="s">
        <v>20</v>
      </c>
      <c r="K30">
        <v>10</v>
      </c>
      <c r="M30" s="35">
        <v>1</v>
      </c>
      <c r="N30" s="35">
        <v>6</v>
      </c>
      <c r="O30" s="35">
        <v>8</v>
      </c>
    </row>
    <row r="31" spans="2:15" x14ac:dyDescent="0.25">
      <c r="F31" s="37">
        <f>SUM(F29:F30)</f>
        <v>2</v>
      </c>
      <c r="G31" s="37">
        <f>SUM(G29:G30)</f>
        <v>2</v>
      </c>
      <c r="H31" s="37">
        <f>SUM(H29:H30)</f>
        <v>5</v>
      </c>
    </row>
    <row r="34" spans="2:15" x14ac:dyDescent="0.25">
      <c r="B34" t="s">
        <v>61</v>
      </c>
      <c r="F34" s="138" t="s">
        <v>22</v>
      </c>
      <c r="G34" s="138"/>
      <c r="H34" s="138"/>
      <c r="M34" s="138" t="s">
        <v>23</v>
      </c>
      <c r="N34" s="138"/>
      <c r="O34" s="138"/>
    </row>
    <row r="35" spans="2:15" x14ac:dyDescent="0.25">
      <c r="F35" s="35" t="s">
        <v>18</v>
      </c>
      <c r="G35" s="35" t="s">
        <v>19</v>
      </c>
      <c r="H35" s="35" t="s">
        <v>20</v>
      </c>
      <c r="J35" t="s">
        <v>18</v>
      </c>
      <c r="K35">
        <v>10</v>
      </c>
      <c r="M35" s="35" t="s">
        <v>18</v>
      </c>
      <c r="N35" s="35" t="s">
        <v>19</v>
      </c>
      <c r="O35" s="35" t="s">
        <v>20</v>
      </c>
    </row>
    <row r="36" spans="2:15" ht="15.75" thickBot="1" x14ac:dyDescent="0.3">
      <c r="E36" s="41" t="s">
        <v>16</v>
      </c>
      <c r="F36" s="40">
        <v>2</v>
      </c>
      <c r="G36" s="40">
        <v>1</v>
      </c>
      <c r="H36" s="40">
        <v>2</v>
      </c>
      <c r="J36" t="s">
        <v>19</v>
      </c>
      <c r="K36">
        <v>9</v>
      </c>
      <c r="M36" s="35">
        <v>1</v>
      </c>
      <c r="N36" s="35">
        <v>6</v>
      </c>
      <c r="O36" s="35">
        <v>8</v>
      </c>
    </row>
    <row r="37" spans="2:15" x14ac:dyDescent="0.25">
      <c r="F37" s="37">
        <f>SUM(F36:F36)</f>
        <v>2</v>
      </c>
      <c r="G37" s="37">
        <f>SUM(G36:G36)</f>
        <v>1</v>
      </c>
      <c r="H37" s="37">
        <f>SUM(H36:H36)</f>
        <v>2</v>
      </c>
      <c r="J37" t="s">
        <v>20</v>
      </c>
      <c r="K37">
        <v>12</v>
      </c>
    </row>
    <row r="40" spans="2:15" x14ac:dyDescent="0.25">
      <c r="E40" t="s">
        <v>62</v>
      </c>
    </row>
  </sheetData>
  <mergeCells count="11">
    <mergeCell ref="F27:H27"/>
    <mergeCell ref="M27:O27"/>
    <mergeCell ref="F34:H34"/>
    <mergeCell ref="M34:O34"/>
    <mergeCell ref="B1:D1"/>
    <mergeCell ref="G1:I1"/>
    <mergeCell ref="L1:N1"/>
    <mergeCell ref="F10:H10"/>
    <mergeCell ref="M10:O10"/>
    <mergeCell ref="F19:H19"/>
    <mergeCell ref="M19:O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32" sqref="L32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topLeftCell="A13" workbookViewId="0">
      <selection activeCell="Y44" sqref="Y44"/>
    </sheetView>
  </sheetViews>
  <sheetFormatPr defaultRowHeight="15" x14ac:dyDescent="0.25"/>
  <cols>
    <col min="1" max="1" width="21.7109375" customWidth="1"/>
  </cols>
  <sheetData>
    <row r="1" spans="1:21" ht="15.75" thickBot="1" x14ac:dyDescent="0.3">
      <c r="A1" s="67" t="s">
        <v>69</v>
      </c>
      <c r="B1" s="146" t="s">
        <v>77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7"/>
    </row>
    <row r="2" spans="1:21" ht="15.75" thickBot="1" x14ac:dyDescent="0.3">
      <c r="A2" s="86" t="s">
        <v>70</v>
      </c>
      <c r="B2" s="81">
        <v>5</v>
      </c>
      <c r="C2" s="82">
        <v>4</v>
      </c>
      <c r="D2" s="82">
        <v>3</v>
      </c>
      <c r="E2" s="83">
        <v>2</v>
      </c>
      <c r="F2" s="84">
        <v>4</v>
      </c>
      <c r="G2" s="84">
        <v>5</v>
      </c>
      <c r="H2" s="84">
        <v>1</v>
      </c>
      <c r="I2" s="84">
        <v>7</v>
      </c>
      <c r="J2" s="84">
        <v>4</v>
      </c>
      <c r="K2" s="84">
        <v>5</v>
      </c>
      <c r="L2" s="84">
        <v>4</v>
      </c>
      <c r="M2" s="84">
        <v>3</v>
      </c>
      <c r="N2" s="84">
        <v>6</v>
      </c>
      <c r="O2" s="84">
        <v>7</v>
      </c>
      <c r="P2" s="84">
        <v>3</v>
      </c>
      <c r="Q2" s="84">
        <v>4</v>
      </c>
      <c r="R2" s="84">
        <v>5</v>
      </c>
      <c r="S2" s="84">
        <v>4</v>
      </c>
      <c r="T2" s="84">
        <v>3</v>
      </c>
      <c r="U2" s="85">
        <v>7</v>
      </c>
    </row>
    <row r="3" spans="1:21" x14ac:dyDescent="0.25">
      <c r="A3" s="76" t="s">
        <v>71</v>
      </c>
      <c r="B3" s="95">
        <v>5</v>
      </c>
      <c r="C3" s="90">
        <v>5</v>
      </c>
      <c r="D3" s="90">
        <v>5</v>
      </c>
      <c r="E3" s="94">
        <v>5</v>
      </c>
      <c r="F3" s="102">
        <v>5</v>
      </c>
      <c r="G3" s="102">
        <v>5</v>
      </c>
      <c r="H3" s="87">
        <v>5</v>
      </c>
      <c r="I3" s="87">
        <v>5</v>
      </c>
      <c r="J3" s="103">
        <v>5</v>
      </c>
      <c r="K3" s="103">
        <v>5</v>
      </c>
      <c r="L3" s="103">
        <v>5</v>
      </c>
      <c r="M3" s="102">
        <v>5</v>
      </c>
      <c r="N3" s="88">
        <v>6</v>
      </c>
      <c r="O3" s="102">
        <v>6</v>
      </c>
      <c r="P3" s="102">
        <v>6</v>
      </c>
      <c r="Q3" s="102">
        <v>6</v>
      </c>
      <c r="R3" s="88">
        <v>5</v>
      </c>
      <c r="S3" s="102">
        <v>5</v>
      </c>
      <c r="T3" s="102">
        <v>5</v>
      </c>
      <c r="U3" s="105">
        <v>5</v>
      </c>
    </row>
    <row r="4" spans="1:21" x14ac:dyDescent="0.25">
      <c r="A4" s="76" t="s">
        <v>72</v>
      </c>
      <c r="B4" s="93"/>
      <c r="C4" s="96">
        <v>4</v>
      </c>
      <c r="D4" s="90">
        <v>4</v>
      </c>
      <c r="E4" s="94">
        <v>4</v>
      </c>
      <c r="F4" s="102">
        <v>4</v>
      </c>
      <c r="G4" s="102">
        <v>4</v>
      </c>
      <c r="H4" s="87">
        <v>4</v>
      </c>
      <c r="I4" s="87">
        <v>4</v>
      </c>
      <c r="J4" s="103">
        <v>4</v>
      </c>
      <c r="K4" s="103">
        <v>4</v>
      </c>
      <c r="L4" s="103">
        <v>4</v>
      </c>
      <c r="M4" s="103">
        <v>4</v>
      </c>
      <c r="N4" s="90">
        <v>4</v>
      </c>
      <c r="O4" s="102">
        <v>4</v>
      </c>
      <c r="P4" s="102">
        <v>4</v>
      </c>
      <c r="Q4" s="102">
        <v>4</v>
      </c>
      <c r="R4" s="87">
        <v>4</v>
      </c>
      <c r="S4" s="102">
        <v>4</v>
      </c>
      <c r="T4" s="102">
        <v>4</v>
      </c>
      <c r="U4" s="105">
        <v>4</v>
      </c>
    </row>
    <row r="5" spans="1:21" x14ac:dyDescent="0.25">
      <c r="A5" s="76" t="s">
        <v>73</v>
      </c>
      <c r="B5" s="93"/>
      <c r="C5" s="90"/>
      <c r="D5" s="96">
        <v>3</v>
      </c>
      <c r="E5" s="94">
        <v>3</v>
      </c>
      <c r="F5" s="103">
        <v>3</v>
      </c>
      <c r="G5" s="102">
        <v>3</v>
      </c>
      <c r="H5" s="87">
        <v>3</v>
      </c>
      <c r="I5" s="87">
        <v>3</v>
      </c>
      <c r="J5" s="103">
        <v>3</v>
      </c>
      <c r="K5" s="103">
        <v>3</v>
      </c>
      <c r="L5" s="103">
        <v>3</v>
      </c>
      <c r="M5" s="102">
        <v>3</v>
      </c>
      <c r="N5" s="87">
        <v>3</v>
      </c>
      <c r="O5" s="102">
        <v>3</v>
      </c>
      <c r="P5" s="102">
        <v>3</v>
      </c>
      <c r="Q5" s="102">
        <v>3</v>
      </c>
      <c r="R5" s="87">
        <v>3</v>
      </c>
      <c r="S5" s="102">
        <v>3</v>
      </c>
      <c r="T5" s="102">
        <v>3</v>
      </c>
      <c r="U5" s="105">
        <v>3</v>
      </c>
    </row>
    <row r="6" spans="1:21" ht="15.75" thickBot="1" x14ac:dyDescent="0.3">
      <c r="A6" s="76" t="s">
        <v>74</v>
      </c>
      <c r="B6" s="93"/>
      <c r="C6" s="90"/>
      <c r="D6" s="90"/>
      <c r="E6" s="97">
        <v>2</v>
      </c>
      <c r="F6" s="102">
        <v>2</v>
      </c>
      <c r="G6" s="102">
        <v>2</v>
      </c>
      <c r="H6" s="88">
        <v>1</v>
      </c>
      <c r="I6" s="88">
        <v>7</v>
      </c>
      <c r="J6" s="102">
        <v>7</v>
      </c>
      <c r="K6" s="102">
        <v>7</v>
      </c>
      <c r="L6" s="102">
        <v>7</v>
      </c>
      <c r="M6" s="102">
        <v>7</v>
      </c>
      <c r="N6" s="87">
        <v>7</v>
      </c>
      <c r="O6" s="102">
        <v>7</v>
      </c>
      <c r="P6" s="102">
        <v>7</v>
      </c>
      <c r="Q6" s="102">
        <v>7</v>
      </c>
      <c r="R6" s="87">
        <v>7</v>
      </c>
      <c r="S6" s="102">
        <v>7</v>
      </c>
      <c r="T6" s="102">
        <v>7</v>
      </c>
      <c r="U6" s="105">
        <v>7</v>
      </c>
    </row>
    <row r="7" spans="1:21" ht="15.75" thickBot="1" x14ac:dyDescent="0.3">
      <c r="A7" s="81" t="s">
        <v>75</v>
      </c>
      <c r="B7" s="99" t="s">
        <v>78</v>
      </c>
      <c r="C7" s="100" t="s">
        <v>78</v>
      </c>
      <c r="D7" s="100" t="s">
        <v>78</v>
      </c>
      <c r="E7" s="101" t="s">
        <v>78</v>
      </c>
      <c r="F7" s="100"/>
      <c r="G7" s="100"/>
      <c r="H7" s="100" t="s">
        <v>78</v>
      </c>
      <c r="I7" s="100" t="s">
        <v>78</v>
      </c>
      <c r="J7" s="100"/>
      <c r="K7" s="100"/>
      <c r="L7" s="100"/>
      <c r="M7" s="100"/>
      <c r="N7" s="100" t="s">
        <v>78</v>
      </c>
      <c r="O7" s="100"/>
      <c r="P7" s="100"/>
      <c r="Q7" s="100"/>
      <c r="R7" s="100" t="s">
        <v>78</v>
      </c>
      <c r="S7" s="100"/>
      <c r="T7" s="100"/>
      <c r="U7" s="101"/>
    </row>
    <row r="8" spans="1:21" ht="15.75" thickBot="1" x14ac:dyDescent="0.3">
      <c r="A8" s="86" t="s">
        <v>76</v>
      </c>
      <c r="B8" s="77"/>
      <c r="C8" s="3"/>
      <c r="D8" s="3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91" t="s">
        <v>79</v>
      </c>
      <c r="B9" s="43" t="s">
        <v>80</v>
      </c>
    </row>
    <row r="11" spans="1:21" x14ac:dyDescent="0.25">
      <c r="A11" s="87" t="s">
        <v>81</v>
      </c>
    </row>
    <row r="12" spans="1:21" x14ac:dyDescent="0.25">
      <c r="A12" s="87" t="s">
        <v>82</v>
      </c>
    </row>
    <row r="13" spans="1:21" x14ac:dyDescent="0.25">
      <c r="A13" s="87" t="s">
        <v>83</v>
      </c>
    </row>
    <row r="14" spans="1:21" x14ac:dyDescent="0.25">
      <c r="A14" s="87" t="s">
        <v>84</v>
      </c>
    </row>
    <row r="17" spans="1:29" ht="15.75" thickBot="1" x14ac:dyDescent="0.3"/>
    <row r="18" spans="1:29" ht="15.75" thickBot="1" x14ac:dyDescent="0.3">
      <c r="A18" s="67" t="s">
        <v>69</v>
      </c>
      <c r="B18" s="148" t="s">
        <v>77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7"/>
    </row>
    <row r="19" spans="1:29" ht="15.75" thickBot="1" x14ac:dyDescent="0.3">
      <c r="A19" s="86" t="s">
        <v>70</v>
      </c>
      <c r="B19" s="81">
        <v>1</v>
      </c>
      <c r="C19" s="82">
        <v>2</v>
      </c>
      <c r="D19" s="82">
        <v>3</v>
      </c>
      <c r="E19" s="83">
        <v>4</v>
      </c>
      <c r="F19" s="84">
        <v>1</v>
      </c>
      <c r="G19" s="84">
        <v>2</v>
      </c>
      <c r="H19" s="84">
        <v>5</v>
      </c>
      <c r="I19" s="84">
        <v>1</v>
      </c>
      <c r="J19" s="84">
        <v>2</v>
      </c>
      <c r="K19" s="84">
        <v>3</v>
      </c>
      <c r="L19" s="84">
        <v>4</v>
      </c>
      <c r="M19" s="85">
        <v>5</v>
      </c>
    </row>
    <row r="20" spans="1:29" x14ac:dyDescent="0.25">
      <c r="A20" s="76" t="s">
        <v>71</v>
      </c>
      <c r="B20" s="95">
        <v>1</v>
      </c>
      <c r="C20" s="90">
        <v>1</v>
      </c>
      <c r="D20" s="90">
        <v>1</v>
      </c>
      <c r="E20" s="94">
        <v>1</v>
      </c>
      <c r="F20" s="102">
        <v>1</v>
      </c>
      <c r="G20" s="102">
        <v>1</v>
      </c>
      <c r="H20" s="87">
        <v>1</v>
      </c>
      <c r="I20" s="102">
        <v>1</v>
      </c>
      <c r="J20" s="103">
        <v>1</v>
      </c>
      <c r="K20" s="103">
        <v>1</v>
      </c>
      <c r="L20" s="96">
        <v>4</v>
      </c>
      <c r="M20" s="104">
        <v>4</v>
      </c>
    </row>
    <row r="21" spans="1:29" x14ac:dyDescent="0.25">
      <c r="A21" s="76" t="s">
        <v>72</v>
      </c>
      <c r="B21" s="93"/>
      <c r="C21" s="96">
        <v>2</v>
      </c>
      <c r="D21" s="90">
        <v>2</v>
      </c>
      <c r="E21" s="94">
        <v>2</v>
      </c>
      <c r="F21" s="102">
        <v>2</v>
      </c>
      <c r="G21" s="102">
        <v>2</v>
      </c>
      <c r="H21" s="87">
        <v>2</v>
      </c>
      <c r="I21" s="102">
        <v>2</v>
      </c>
      <c r="J21" s="103">
        <v>2</v>
      </c>
      <c r="K21" s="103">
        <v>2</v>
      </c>
      <c r="L21" s="90">
        <v>2</v>
      </c>
      <c r="M21" s="105">
        <v>2</v>
      </c>
    </row>
    <row r="22" spans="1:29" x14ac:dyDescent="0.25">
      <c r="A22" s="76" t="s">
        <v>73</v>
      </c>
      <c r="B22" s="93"/>
      <c r="C22" s="90"/>
      <c r="D22" s="96">
        <v>3</v>
      </c>
      <c r="E22" s="94">
        <v>3</v>
      </c>
      <c r="F22" s="103">
        <v>3</v>
      </c>
      <c r="G22" s="102">
        <v>3</v>
      </c>
      <c r="H22" s="87">
        <v>3</v>
      </c>
      <c r="I22" s="102">
        <v>3</v>
      </c>
      <c r="J22" s="103">
        <v>3</v>
      </c>
      <c r="K22" s="103">
        <v>3</v>
      </c>
      <c r="L22" s="90">
        <v>3</v>
      </c>
      <c r="M22" s="104">
        <v>3</v>
      </c>
    </row>
    <row r="23" spans="1:29" ht="15.75" thickBot="1" x14ac:dyDescent="0.3">
      <c r="A23" s="76" t="s">
        <v>74</v>
      </c>
      <c r="B23" s="93"/>
      <c r="C23" s="90"/>
      <c r="D23" s="90"/>
      <c r="E23" s="97">
        <v>4</v>
      </c>
      <c r="F23" s="102">
        <v>4</v>
      </c>
      <c r="G23" s="102">
        <v>5</v>
      </c>
      <c r="H23" s="88">
        <v>5</v>
      </c>
      <c r="I23" s="102">
        <v>5</v>
      </c>
      <c r="J23" s="102">
        <v>5</v>
      </c>
      <c r="K23" s="102">
        <v>5</v>
      </c>
      <c r="L23" s="87">
        <v>5</v>
      </c>
      <c r="M23" s="104">
        <v>5</v>
      </c>
    </row>
    <row r="24" spans="1:29" ht="15.75" thickBot="1" x14ac:dyDescent="0.3">
      <c r="A24" s="81" t="s">
        <v>75</v>
      </c>
      <c r="B24" s="99" t="s">
        <v>78</v>
      </c>
      <c r="C24" s="100" t="s">
        <v>78</v>
      </c>
      <c r="D24" s="100" t="s">
        <v>78</v>
      </c>
      <c r="E24" s="101" t="s">
        <v>78</v>
      </c>
      <c r="F24" s="100"/>
      <c r="G24" s="100"/>
      <c r="H24" s="100" t="s">
        <v>78</v>
      </c>
      <c r="I24" s="100"/>
      <c r="J24" s="100"/>
      <c r="K24" s="100"/>
      <c r="L24" s="100" t="s">
        <v>78</v>
      </c>
      <c r="M24" s="101"/>
    </row>
    <row r="25" spans="1:29" ht="15.75" thickBot="1" x14ac:dyDescent="0.3">
      <c r="A25" s="86" t="s">
        <v>76</v>
      </c>
      <c r="B25" s="77"/>
      <c r="C25" s="3"/>
      <c r="D25" s="3"/>
      <c r="E25" s="4"/>
      <c r="F25" s="3"/>
      <c r="G25" s="3"/>
      <c r="H25" s="3"/>
      <c r="I25" s="3"/>
      <c r="J25" s="3"/>
      <c r="K25" s="3"/>
      <c r="L25" s="3"/>
      <c r="M25" s="4"/>
    </row>
    <row r="26" spans="1:29" x14ac:dyDescent="0.25">
      <c r="A26" s="91" t="s">
        <v>85</v>
      </c>
    </row>
    <row r="29" spans="1:29" ht="15.75" thickBot="1" x14ac:dyDescent="0.3"/>
    <row r="30" spans="1:29" ht="15.75" thickBot="1" x14ac:dyDescent="0.3">
      <c r="A30" s="67" t="s">
        <v>69</v>
      </c>
      <c r="B30" s="149" t="s">
        <v>77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Q30" s="67" t="s">
        <v>69</v>
      </c>
      <c r="R30" s="149" t="s">
        <v>77</v>
      </c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1"/>
    </row>
    <row r="31" spans="1:29" ht="15.75" thickBot="1" x14ac:dyDescent="0.3">
      <c r="A31" s="86" t="s">
        <v>70</v>
      </c>
      <c r="B31" s="81">
        <v>6</v>
      </c>
      <c r="C31" s="82">
        <v>8</v>
      </c>
      <c r="D31" s="83">
        <v>3</v>
      </c>
      <c r="E31" s="82">
        <v>8</v>
      </c>
      <c r="F31" s="82">
        <v>6</v>
      </c>
      <c r="G31" s="82">
        <v>0</v>
      </c>
      <c r="H31" s="82">
        <v>3</v>
      </c>
      <c r="I31" s="82">
        <v>6</v>
      </c>
      <c r="J31" s="82">
        <v>3</v>
      </c>
      <c r="K31" s="82">
        <v>5</v>
      </c>
      <c r="L31" s="82">
        <v>3</v>
      </c>
      <c r="M31" s="83">
        <v>6</v>
      </c>
      <c r="Q31" s="86" t="s">
        <v>70</v>
      </c>
      <c r="R31" s="81">
        <v>6</v>
      </c>
      <c r="S31" s="82">
        <v>8</v>
      </c>
      <c r="T31" s="83">
        <v>3</v>
      </c>
      <c r="U31" s="82">
        <v>8</v>
      </c>
      <c r="V31" s="82">
        <v>6</v>
      </c>
      <c r="W31" s="82">
        <v>0</v>
      </c>
      <c r="X31" s="82">
        <v>3</v>
      </c>
      <c r="Y31" s="82">
        <v>6</v>
      </c>
      <c r="Z31" s="82">
        <v>3</v>
      </c>
      <c r="AA31" s="82">
        <v>5</v>
      </c>
      <c r="AB31" s="82">
        <v>3</v>
      </c>
      <c r="AC31" s="83">
        <v>6</v>
      </c>
    </row>
    <row r="32" spans="1:29" x14ac:dyDescent="0.25">
      <c r="A32" s="76" t="s">
        <v>71</v>
      </c>
      <c r="B32" s="95">
        <v>6</v>
      </c>
      <c r="C32" s="90">
        <v>6</v>
      </c>
      <c r="D32" s="94">
        <v>6</v>
      </c>
      <c r="E32" s="90">
        <v>6</v>
      </c>
      <c r="F32" s="102">
        <v>6</v>
      </c>
      <c r="G32" s="87">
        <v>6</v>
      </c>
      <c r="H32" s="102">
        <v>6</v>
      </c>
      <c r="I32" s="102">
        <v>6</v>
      </c>
      <c r="J32" s="103">
        <v>1</v>
      </c>
      <c r="K32" s="90">
        <v>6</v>
      </c>
      <c r="L32" s="103">
        <v>6</v>
      </c>
      <c r="M32" s="104">
        <v>6</v>
      </c>
      <c r="Q32" s="76" t="s">
        <v>71</v>
      </c>
      <c r="R32" s="95">
        <v>6</v>
      </c>
      <c r="S32" s="90">
        <v>6</v>
      </c>
      <c r="T32" s="94">
        <v>6</v>
      </c>
      <c r="U32" s="90">
        <v>6</v>
      </c>
      <c r="V32" s="102">
        <v>6</v>
      </c>
      <c r="W32" s="87">
        <v>0</v>
      </c>
      <c r="X32" s="102">
        <v>0</v>
      </c>
      <c r="Y32" s="102">
        <v>0</v>
      </c>
      <c r="Z32" s="103">
        <v>1</v>
      </c>
      <c r="AA32" s="90">
        <v>0</v>
      </c>
      <c r="AB32" s="103">
        <v>3</v>
      </c>
      <c r="AC32" s="104">
        <v>3</v>
      </c>
    </row>
    <row r="33" spans="1:29" x14ac:dyDescent="0.25">
      <c r="A33" s="76" t="s">
        <v>72</v>
      </c>
      <c r="B33" s="93"/>
      <c r="C33" s="96">
        <v>8</v>
      </c>
      <c r="D33" s="94">
        <v>8</v>
      </c>
      <c r="E33" s="90">
        <v>8</v>
      </c>
      <c r="F33" s="102">
        <v>8</v>
      </c>
      <c r="G33" s="88">
        <v>0</v>
      </c>
      <c r="H33" s="102">
        <v>0</v>
      </c>
      <c r="I33" s="102">
        <v>0</v>
      </c>
      <c r="J33" s="103">
        <v>0</v>
      </c>
      <c r="K33" s="96">
        <v>5</v>
      </c>
      <c r="L33" s="103">
        <v>5</v>
      </c>
      <c r="M33" s="105">
        <v>5</v>
      </c>
      <c r="Q33" s="76" t="s">
        <v>72</v>
      </c>
      <c r="R33" s="93"/>
      <c r="S33" s="96">
        <v>8</v>
      </c>
      <c r="T33" s="94">
        <v>8</v>
      </c>
      <c r="U33" s="90">
        <v>8</v>
      </c>
      <c r="V33" s="102">
        <v>8</v>
      </c>
      <c r="W33" s="88">
        <v>8</v>
      </c>
      <c r="X33" s="102">
        <v>8</v>
      </c>
      <c r="Y33" s="102">
        <v>6</v>
      </c>
      <c r="Z33" s="103">
        <v>6</v>
      </c>
      <c r="AA33" s="96">
        <v>6</v>
      </c>
      <c r="AB33" s="103">
        <v>6</v>
      </c>
      <c r="AC33" s="105">
        <v>6</v>
      </c>
    </row>
    <row r="34" spans="1:29" ht="15.75" thickBot="1" x14ac:dyDescent="0.3">
      <c r="A34" s="76" t="s">
        <v>73</v>
      </c>
      <c r="B34" s="93"/>
      <c r="C34" s="90"/>
      <c r="D34" s="97">
        <v>3</v>
      </c>
      <c r="E34" s="90">
        <v>3</v>
      </c>
      <c r="F34" s="103">
        <v>3</v>
      </c>
      <c r="G34" s="87">
        <v>3</v>
      </c>
      <c r="H34" s="102">
        <v>3</v>
      </c>
      <c r="I34" s="102">
        <v>3</v>
      </c>
      <c r="J34" s="103">
        <v>3</v>
      </c>
      <c r="K34" s="90">
        <v>3</v>
      </c>
      <c r="L34" s="103">
        <v>3</v>
      </c>
      <c r="M34" s="104">
        <v>3</v>
      </c>
      <c r="Q34" s="76" t="s">
        <v>73</v>
      </c>
      <c r="R34" s="93"/>
      <c r="S34" s="90"/>
      <c r="T34" s="97">
        <v>3</v>
      </c>
      <c r="U34" s="90">
        <v>3</v>
      </c>
      <c r="V34" s="103">
        <v>3</v>
      </c>
      <c r="W34" s="87">
        <v>3</v>
      </c>
      <c r="X34" s="102">
        <v>3</v>
      </c>
      <c r="Y34" s="102">
        <v>3</v>
      </c>
      <c r="Z34" s="103">
        <v>3</v>
      </c>
      <c r="AA34" s="90">
        <v>5</v>
      </c>
      <c r="AB34" s="103">
        <v>5</v>
      </c>
      <c r="AC34" s="104">
        <v>5</v>
      </c>
    </row>
    <row r="35" spans="1:29" ht="15.75" thickBot="1" x14ac:dyDescent="0.3">
      <c r="A35" s="81" t="s">
        <v>75</v>
      </c>
      <c r="B35" s="99" t="s">
        <v>78</v>
      </c>
      <c r="C35" s="100" t="s">
        <v>78</v>
      </c>
      <c r="D35" s="101" t="s">
        <v>78</v>
      </c>
      <c r="E35" s="100"/>
      <c r="F35" s="100"/>
      <c r="G35" s="100" t="s">
        <v>78</v>
      </c>
      <c r="H35" s="100"/>
      <c r="I35" s="100"/>
      <c r="J35" s="100"/>
      <c r="K35" s="100" t="s">
        <v>78</v>
      </c>
      <c r="L35" s="100"/>
      <c r="M35" s="101"/>
      <c r="Q35" s="81" t="s">
        <v>75</v>
      </c>
      <c r="R35" s="99" t="s">
        <v>78</v>
      </c>
      <c r="S35" s="100" t="s">
        <v>78</v>
      </c>
      <c r="T35" s="101" t="s">
        <v>78</v>
      </c>
      <c r="U35" s="100"/>
      <c r="V35" s="100"/>
      <c r="W35" s="100" t="s">
        <v>78</v>
      </c>
      <c r="X35" s="100"/>
      <c r="Y35" s="100"/>
      <c r="Z35" s="100"/>
      <c r="AA35" s="100" t="s">
        <v>78</v>
      </c>
      <c r="AB35" s="100"/>
      <c r="AC35" s="101"/>
    </row>
    <row r="36" spans="1:29" ht="15.75" thickBot="1" x14ac:dyDescent="0.3">
      <c r="A36" s="86" t="s">
        <v>92</v>
      </c>
      <c r="B36" s="77"/>
      <c r="C36" s="3"/>
      <c r="D36" s="4"/>
      <c r="E36" s="3"/>
      <c r="F36" s="3"/>
      <c r="G36" s="3"/>
      <c r="H36" s="3"/>
      <c r="I36" s="3"/>
      <c r="J36" s="3"/>
      <c r="K36" s="3"/>
      <c r="L36" s="3"/>
      <c r="M36" s="4"/>
      <c r="Q36" s="86" t="s">
        <v>93</v>
      </c>
      <c r="R36" s="77"/>
      <c r="S36" s="3"/>
      <c r="T36" s="4"/>
      <c r="U36" s="3"/>
      <c r="V36" s="3"/>
      <c r="W36" s="3"/>
      <c r="X36" s="3"/>
      <c r="Y36" s="3"/>
      <c r="Z36" s="3"/>
      <c r="AA36" s="3"/>
      <c r="AB36" s="3"/>
      <c r="AC36" s="4"/>
    </row>
    <row r="37" spans="1:29" x14ac:dyDescent="0.25">
      <c r="A37" s="91" t="s">
        <v>86</v>
      </c>
      <c r="Q37" s="91" t="s">
        <v>94</v>
      </c>
    </row>
    <row r="38" spans="1:29" ht="15.75" thickBot="1" x14ac:dyDescent="0.3"/>
    <row r="39" spans="1:29" ht="15.75" thickBot="1" x14ac:dyDescent="0.3">
      <c r="A39" s="67" t="s">
        <v>69</v>
      </c>
      <c r="B39" s="146" t="s">
        <v>77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7"/>
      <c r="Q39" s="67" t="s">
        <v>69</v>
      </c>
      <c r="R39" s="146" t="s">
        <v>77</v>
      </c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7"/>
    </row>
    <row r="40" spans="1:29" ht="15.75" thickBot="1" x14ac:dyDescent="0.3">
      <c r="A40" s="106" t="s">
        <v>70</v>
      </c>
      <c r="B40" s="81">
        <v>6</v>
      </c>
      <c r="C40" s="82">
        <v>8</v>
      </c>
      <c r="D40" s="82">
        <v>3</v>
      </c>
      <c r="E40" s="83">
        <v>8</v>
      </c>
      <c r="F40" s="82">
        <v>6</v>
      </c>
      <c r="G40" s="82">
        <v>0</v>
      </c>
      <c r="H40" s="82">
        <v>3</v>
      </c>
      <c r="I40" s="82">
        <v>6</v>
      </c>
      <c r="J40" s="82">
        <v>3</v>
      </c>
      <c r="K40" s="82">
        <v>5</v>
      </c>
      <c r="L40" s="82">
        <v>3</v>
      </c>
      <c r="M40" s="83">
        <v>6</v>
      </c>
      <c r="Q40" s="106" t="s">
        <v>70</v>
      </c>
      <c r="R40" s="81">
        <v>6</v>
      </c>
      <c r="S40" s="82">
        <v>8</v>
      </c>
      <c r="T40" s="82">
        <v>3</v>
      </c>
      <c r="U40" s="83">
        <v>8</v>
      </c>
      <c r="V40" s="82">
        <v>6</v>
      </c>
      <c r="W40" s="82">
        <v>0</v>
      </c>
      <c r="X40" s="82">
        <v>3</v>
      </c>
      <c r="Y40" s="82">
        <v>6</v>
      </c>
      <c r="Z40" s="82">
        <v>3</v>
      </c>
      <c r="AA40" s="82">
        <v>5</v>
      </c>
      <c r="AB40" s="82">
        <v>3</v>
      </c>
      <c r="AC40" s="83">
        <v>6</v>
      </c>
    </row>
    <row r="41" spans="1:29" x14ac:dyDescent="0.25">
      <c r="A41" s="107" t="s">
        <v>71</v>
      </c>
      <c r="B41" s="95">
        <v>6</v>
      </c>
      <c r="C41" s="90">
        <v>6</v>
      </c>
      <c r="D41" s="90">
        <v>6</v>
      </c>
      <c r="E41" s="94">
        <v>6</v>
      </c>
      <c r="F41" s="102">
        <v>6</v>
      </c>
      <c r="G41" s="87">
        <v>6</v>
      </c>
      <c r="H41" s="102">
        <v>6</v>
      </c>
      <c r="I41" s="102">
        <v>6</v>
      </c>
      <c r="J41" s="103">
        <v>6</v>
      </c>
      <c r="K41" s="90">
        <v>6</v>
      </c>
      <c r="L41" s="103">
        <v>6</v>
      </c>
      <c r="M41" s="104">
        <v>6</v>
      </c>
      <c r="Q41" s="107" t="s">
        <v>71</v>
      </c>
      <c r="R41" s="95">
        <v>6</v>
      </c>
      <c r="S41" s="90">
        <v>6</v>
      </c>
      <c r="T41" s="90">
        <v>6</v>
      </c>
      <c r="U41" s="94">
        <v>6</v>
      </c>
      <c r="V41" s="102">
        <v>6</v>
      </c>
      <c r="W41" s="87">
        <v>6</v>
      </c>
      <c r="X41" s="102">
        <v>6</v>
      </c>
      <c r="Y41" s="102">
        <v>6</v>
      </c>
      <c r="Z41" s="103">
        <v>6</v>
      </c>
      <c r="AA41" s="90">
        <v>5</v>
      </c>
      <c r="AB41" s="103">
        <v>5</v>
      </c>
      <c r="AC41" s="104">
        <v>5</v>
      </c>
    </row>
    <row r="42" spans="1:29" x14ac:dyDescent="0.25">
      <c r="A42" s="107" t="s">
        <v>72</v>
      </c>
      <c r="B42" s="93"/>
      <c r="C42" s="96">
        <v>8</v>
      </c>
      <c r="D42" s="90">
        <v>8</v>
      </c>
      <c r="E42" s="94">
        <v>8</v>
      </c>
      <c r="F42" s="102">
        <v>8</v>
      </c>
      <c r="G42" s="88">
        <v>0</v>
      </c>
      <c r="H42" s="102">
        <v>0</v>
      </c>
      <c r="I42" s="102">
        <v>0</v>
      </c>
      <c r="J42" s="103">
        <v>0</v>
      </c>
      <c r="K42" s="96">
        <v>5</v>
      </c>
      <c r="L42" s="103">
        <v>5</v>
      </c>
      <c r="M42" s="105">
        <v>5</v>
      </c>
      <c r="Q42" s="107" t="s">
        <v>72</v>
      </c>
      <c r="R42" s="93"/>
      <c r="S42" s="96">
        <v>8</v>
      </c>
      <c r="T42" s="90">
        <v>8</v>
      </c>
      <c r="U42" s="94">
        <v>8</v>
      </c>
      <c r="V42" s="102">
        <v>8</v>
      </c>
      <c r="W42" s="88">
        <v>8</v>
      </c>
      <c r="X42" s="102">
        <v>8</v>
      </c>
      <c r="Y42" s="102">
        <v>8</v>
      </c>
      <c r="Z42" s="103">
        <v>8</v>
      </c>
      <c r="AA42" s="96">
        <v>8</v>
      </c>
      <c r="AB42" s="103">
        <v>8</v>
      </c>
      <c r="AC42" s="105">
        <v>6</v>
      </c>
    </row>
    <row r="43" spans="1:29" x14ac:dyDescent="0.25">
      <c r="A43" s="107" t="s">
        <v>73</v>
      </c>
      <c r="B43" s="93"/>
      <c r="C43" s="96"/>
      <c r="D43" s="96">
        <v>3</v>
      </c>
      <c r="E43" s="94">
        <v>3</v>
      </c>
      <c r="F43" s="102">
        <v>3</v>
      </c>
      <c r="G43" s="87">
        <v>3</v>
      </c>
      <c r="H43" s="102">
        <v>3</v>
      </c>
      <c r="I43" s="102">
        <v>3</v>
      </c>
      <c r="J43" s="103">
        <v>3</v>
      </c>
      <c r="K43" s="90">
        <v>3</v>
      </c>
      <c r="L43" s="103">
        <v>3</v>
      </c>
      <c r="M43" s="105">
        <v>3</v>
      </c>
      <c r="Q43" s="107" t="s">
        <v>73</v>
      </c>
      <c r="R43" s="93"/>
      <c r="S43" s="96"/>
      <c r="T43" s="96">
        <v>3</v>
      </c>
      <c r="U43" s="94">
        <v>3</v>
      </c>
      <c r="V43" s="102">
        <v>3</v>
      </c>
      <c r="W43" s="87">
        <v>3</v>
      </c>
      <c r="X43" s="102">
        <v>3</v>
      </c>
      <c r="Y43" s="102">
        <v>3</v>
      </c>
      <c r="Z43" s="103">
        <v>3</v>
      </c>
      <c r="AA43" s="90">
        <v>3</v>
      </c>
      <c r="AB43" s="103">
        <v>3</v>
      </c>
      <c r="AC43" s="105">
        <v>3</v>
      </c>
    </row>
    <row r="44" spans="1:29" ht="15.75" thickBot="1" x14ac:dyDescent="0.3">
      <c r="A44" s="107" t="s">
        <v>74</v>
      </c>
      <c r="B44" s="93"/>
      <c r="C44" s="90"/>
      <c r="D44" s="96"/>
      <c r="E44" s="97">
        <v>8</v>
      </c>
      <c r="F44" s="103">
        <v>8</v>
      </c>
      <c r="G44" s="87">
        <v>8</v>
      </c>
      <c r="H44" s="102">
        <v>8</v>
      </c>
      <c r="I44" s="102">
        <v>8</v>
      </c>
      <c r="J44" s="103">
        <v>8</v>
      </c>
      <c r="K44" s="90">
        <v>8</v>
      </c>
      <c r="L44" s="103">
        <v>8</v>
      </c>
      <c r="M44" s="104">
        <v>8</v>
      </c>
      <c r="Q44" s="107" t="s">
        <v>74</v>
      </c>
      <c r="R44" s="93"/>
      <c r="S44" s="90"/>
      <c r="T44" s="96"/>
      <c r="U44" s="97">
        <v>8</v>
      </c>
      <c r="V44" s="103">
        <v>0</v>
      </c>
      <c r="W44" s="87">
        <v>0</v>
      </c>
      <c r="X44" s="102">
        <v>0</v>
      </c>
      <c r="Y44" s="102">
        <v>0</v>
      </c>
      <c r="Z44" s="103">
        <v>0</v>
      </c>
      <c r="AA44" s="90">
        <v>0</v>
      </c>
      <c r="AB44" s="103">
        <v>0</v>
      </c>
      <c r="AC44" s="104">
        <v>0</v>
      </c>
    </row>
    <row r="45" spans="1:29" ht="15.75" thickBot="1" x14ac:dyDescent="0.3">
      <c r="A45" s="133" t="s">
        <v>75</v>
      </c>
      <c r="B45" s="99" t="s">
        <v>78</v>
      </c>
      <c r="C45" s="100" t="s">
        <v>78</v>
      </c>
      <c r="D45" s="100" t="s">
        <v>78</v>
      </c>
      <c r="E45" s="101" t="s">
        <v>78</v>
      </c>
      <c r="F45" s="100"/>
      <c r="G45" s="100" t="s">
        <v>78</v>
      </c>
      <c r="H45" s="100"/>
      <c r="I45" s="100"/>
      <c r="J45" s="100"/>
      <c r="K45" s="100" t="s">
        <v>78</v>
      </c>
      <c r="L45" s="100"/>
      <c r="M45" s="101"/>
      <c r="Q45" s="133" t="s">
        <v>75</v>
      </c>
      <c r="R45" s="99" t="s">
        <v>78</v>
      </c>
      <c r="S45" s="100" t="s">
        <v>78</v>
      </c>
      <c r="T45" s="100" t="s">
        <v>78</v>
      </c>
      <c r="U45" s="101" t="s">
        <v>78</v>
      </c>
      <c r="V45" s="100"/>
      <c r="W45" s="100" t="s">
        <v>78</v>
      </c>
      <c r="X45" s="100"/>
      <c r="Y45" s="100"/>
      <c r="Z45" s="100"/>
      <c r="AA45" s="100" t="s">
        <v>78</v>
      </c>
      <c r="AB45" s="100"/>
      <c r="AC45" s="101"/>
    </row>
    <row r="46" spans="1:29" ht="15.75" thickBot="1" x14ac:dyDescent="0.3">
      <c r="A46" s="67" t="s">
        <v>92</v>
      </c>
      <c r="B46" s="79"/>
      <c r="C46" s="79"/>
      <c r="D46" s="79"/>
      <c r="E46" s="80"/>
      <c r="F46" s="79"/>
      <c r="G46" s="79"/>
      <c r="H46" s="79"/>
      <c r="I46" s="79"/>
      <c r="J46" s="79"/>
      <c r="K46" s="79"/>
      <c r="L46" s="79"/>
      <c r="M46" s="80"/>
      <c r="Q46" s="67" t="s">
        <v>93</v>
      </c>
      <c r="R46" s="79"/>
      <c r="S46" s="79"/>
      <c r="T46" s="79"/>
      <c r="U46" s="80"/>
      <c r="V46" s="79"/>
      <c r="W46" s="79"/>
      <c r="X46" s="79"/>
      <c r="Y46" s="79"/>
      <c r="Z46" s="79"/>
      <c r="AA46" s="79"/>
      <c r="AB46" s="79"/>
      <c r="AC46" s="80"/>
    </row>
    <row r="47" spans="1:29" x14ac:dyDescent="0.25">
      <c r="A47" s="6" t="s">
        <v>87</v>
      </c>
      <c r="Q47" s="6" t="s">
        <v>87</v>
      </c>
    </row>
    <row r="54" spans="1:13" ht="15.75" thickBot="1" x14ac:dyDescent="0.3"/>
    <row r="55" spans="1:13" ht="15.75" thickBot="1" x14ac:dyDescent="0.3">
      <c r="A55" s="67" t="s">
        <v>69</v>
      </c>
      <c r="B55" s="148" t="s">
        <v>77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7"/>
    </row>
    <row r="56" spans="1:13" ht="15.75" thickBot="1" x14ac:dyDescent="0.3">
      <c r="A56" s="86" t="s">
        <v>70</v>
      </c>
      <c r="B56" s="81">
        <v>1</v>
      </c>
      <c r="C56" s="82">
        <v>2</v>
      </c>
      <c r="D56" s="82">
        <v>3</v>
      </c>
      <c r="E56" s="83">
        <v>4</v>
      </c>
      <c r="F56" s="84">
        <v>1</v>
      </c>
      <c r="G56" s="84">
        <v>2</v>
      </c>
      <c r="H56" s="84">
        <v>5</v>
      </c>
      <c r="I56" s="84">
        <v>1</v>
      </c>
      <c r="J56" s="84">
        <v>2</v>
      </c>
      <c r="K56" s="84">
        <v>3</v>
      </c>
      <c r="L56" s="84">
        <v>4</v>
      </c>
      <c r="M56" s="85">
        <v>5</v>
      </c>
    </row>
    <row r="57" spans="1:13" x14ac:dyDescent="0.25">
      <c r="A57" s="76" t="s">
        <v>71</v>
      </c>
      <c r="B57" s="95">
        <v>1</v>
      </c>
      <c r="C57" s="90">
        <v>1</v>
      </c>
      <c r="D57" s="90">
        <v>1</v>
      </c>
      <c r="E57" s="94">
        <v>1</v>
      </c>
      <c r="F57" s="102">
        <v>1</v>
      </c>
      <c r="G57" s="102">
        <v>1</v>
      </c>
      <c r="H57" s="87">
        <v>1</v>
      </c>
      <c r="I57" s="102">
        <v>1</v>
      </c>
      <c r="J57" s="103">
        <v>1</v>
      </c>
      <c r="K57" s="103">
        <v>1</v>
      </c>
      <c r="L57" s="96">
        <v>4</v>
      </c>
      <c r="M57" s="104">
        <v>4</v>
      </c>
    </row>
    <row r="58" spans="1:13" x14ac:dyDescent="0.25">
      <c r="A58" s="76" t="s">
        <v>72</v>
      </c>
      <c r="B58" s="93"/>
      <c r="C58" s="96">
        <v>2</v>
      </c>
      <c r="D58" s="90">
        <v>2</v>
      </c>
      <c r="E58" s="94">
        <v>2</v>
      </c>
      <c r="F58" s="102">
        <v>2</v>
      </c>
      <c r="G58" s="102">
        <v>2</v>
      </c>
      <c r="H58" s="87">
        <v>2</v>
      </c>
      <c r="I58" s="102">
        <v>2</v>
      </c>
      <c r="J58" s="103">
        <v>2</v>
      </c>
      <c r="K58" s="103">
        <v>2</v>
      </c>
      <c r="L58" s="90">
        <v>2</v>
      </c>
      <c r="M58" s="105">
        <v>2</v>
      </c>
    </row>
    <row r="59" spans="1:13" x14ac:dyDescent="0.25">
      <c r="A59" s="76" t="s">
        <v>73</v>
      </c>
      <c r="B59" s="93"/>
      <c r="C59" s="90"/>
      <c r="D59" s="96">
        <v>3</v>
      </c>
      <c r="E59" s="94">
        <v>3</v>
      </c>
      <c r="F59" s="103">
        <v>3</v>
      </c>
      <c r="G59" s="102">
        <v>3</v>
      </c>
      <c r="H59" s="87">
        <v>3</v>
      </c>
      <c r="I59" s="102">
        <v>3</v>
      </c>
      <c r="J59" s="103">
        <v>3</v>
      </c>
      <c r="K59" s="103">
        <v>3</v>
      </c>
      <c r="L59" s="90">
        <v>3</v>
      </c>
      <c r="M59" s="104">
        <v>3</v>
      </c>
    </row>
    <row r="60" spans="1:13" ht="15.75" thickBot="1" x14ac:dyDescent="0.3">
      <c r="A60" s="76" t="s">
        <v>74</v>
      </c>
      <c r="B60" s="93"/>
      <c r="C60" s="90"/>
      <c r="D60" s="90"/>
      <c r="E60" s="97">
        <v>4</v>
      </c>
      <c r="F60" s="102">
        <v>4</v>
      </c>
      <c r="G60" s="102">
        <v>5</v>
      </c>
      <c r="H60" s="88">
        <v>5</v>
      </c>
      <c r="I60" s="102">
        <v>5</v>
      </c>
      <c r="J60" s="102">
        <v>5</v>
      </c>
      <c r="K60" s="102">
        <v>5</v>
      </c>
      <c r="L60" s="87">
        <v>5</v>
      </c>
      <c r="M60" s="104">
        <v>5</v>
      </c>
    </row>
    <row r="61" spans="1:13" ht="15.75" thickBot="1" x14ac:dyDescent="0.3">
      <c r="A61" s="81" t="s">
        <v>75</v>
      </c>
      <c r="B61" s="99" t="s">
        <v>78</v>
      </c>
      <c r="C61" s="100" t="s">
        <v>78</v>
      </c>
      <c r="D61" s="100" t="s">
        <v>78</v>
      </c>
      <c r="E61" s="101" t="s">
        <v>78</v>
      </c>
      <c r="F61" s="100"/>
      <c r="G61" s="100"/>
      <c r="H61" s="100" t="s">
        <v>78</v>
      </c>
      <c r="I61" s="100"/>
      <c r="J61" s="100"/>
      <c r="K61" s="100"/>
      <c r="L61" s="100" t="s">
        <v>78</v>
      </c>
      <c r="M61" s="101"/>
    </row>
    <row r="62" spans="1:13" ht="15.75" thickBot="1" x14ac:dyDescent="0.3">
      <c r="A62" s="86" t="s">
        <v>76</v>
      </c>
      <c r="B62" s="77"/>
      <c r="C62" s="3"/>
      <c r="D62" s="3"/>
      <c r="E62" s="4"/>
      <c r="F62" s="3"/>
      <c r="G62" s="3"/>
      <c r="H62" s="3"/>
      <c r="I62" s="3"/>
      <c r="J62" s="3"/>
      <c r="K62" s="3"/>
      <c r="L62" s="3"/>
      <c r="M62" s="4"/>
    </row>
  </sheetData>
  <mergeCells count="7">
    <mergeCell ref="B1:U1"/>
    <mergeCell ref="B18:M18"/>
    <mergeCell ref="B30:M30"/>
    <mergeCell ref="B55:M55"/>
    <mergeCell ref="B39:M39"/>
    <mergeCell ref="R30:AC30"/>
    <mergeCell ref="R39:AC3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workbookViewId="0">
      <selection activeCell="K45" sqref="K45"/>
    </sheetView>
  </sheetViews>
  <sheetFormatPr defaultRowHeight="15" x14ac:dyDescent="0.25"/>
  <cols>
    <col min="1" max="1" width="30.28515625" customWidth="1"/>
  </cols>
  <sheetData>
    <row r="1" spans="1:21" ht="15.75" thickBot="1" x14ac:dyDescent="0.3">
      <c r="A1" s="67" t="s">
        <v>69</v>
      </c>
      <c r="B1" s="146" t="s">
        <v>77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7"/>
    </row>
    <row r="2" spans="1:21" ht="15.75" thickBot="1" x14ac:dyDescent="0.3">
      <c r="A2" s="86" t="s">
        <v>70</v>
      </c>
      <c r="B2" s="81">
        <v>5</v>
      </c>
      <c r="C2" s="82">
        <v>4</v>
      </c>
      <c r="D2" s="82">
        <v>3</v>
      </c>
      <c r="E2" s="83">
        <v>2</v>
      </c>
      <c r="F2" s="84">
        <v>4</v>
      </c>
      <c r="G2" s="84">
        <v>5</v>
      </c>
      <c r="H2" s="84">
        <v>1</v>
      </c>
      <c r="I2" s="84">
        <v>7</v>
      </c>
      <c r="J2" s="84">
        <v>4</v>
      </c>
      <c r="K2" s="84">
        <v>5</v>
      </c>
      <c r="L2" s="84">
        <v>4</v>
      </c>
      <c r="M2" s="84">
        <v>3</v>
      </c>
      <c r="N2" s="84">
        <v>6</v>
      </c>
      <c r="O2" s="84">
        <v>7</v>
      </c>
      <c r="P2" s="84">
        <v>3</v>
      </c>
      <c r="Q2" s="84">
        <v>4</v>
      </c>
      <c r="R2" s="84">
        <v>5</v>
      </c>
      <c r="S2" s="84">
        <v>4</v>
      </c>
      <c r="T2" s="84">
        <v>3</v>
      </c>
      <c r="U2" s="85">
        <v>7</v>
      </c>
    </row>
    <row r="3" spans="1:21" x14ac:dyDescent="0.25">
      <c r="A3" s="76" t="s">
        <v>71</v>
      </c>
      <c r="B3" s="95">
        <v>5</v>
      </c>
      <c r="C3" s="90">
        <v>5</v>
      </c>
      <c r="D3" s="90">
        <v>5</v>
      </c>
      <c r="E3" s="94">
        <v>5</v>
      </c>
      <c r="F3" s="102">
        <v>5</v>
      </c>
      <c r="G3" s="102">
        <v>5</v>
      </c>
      <c r="H3" s="88">
        <v>1</v>
      </c>
      <c r="I3" s="87">
        <v>1</v>
      </c>
      <c r="J3" s="90">
        <v>1</v>
      </c>
      <c r="K3" s="90">
        <v>1</v>
      </c>
      <c r="L3" s="103">
        <v>1</v>
      </c>
      <c r="M3" s="88">
        <v>3</v>
      </c>
      <c r="N3" s="113">
        <v>3</v>
      </c>
      <c r="O3" s="87">
        <v>3</v>
      </c>
      <c r="P3" s="102">
        <v>3</v>
      </c>
      <c r="Q3" s="113">
        <v>3</v>
      </c>
      <c r="R3" s="88">
        <v>5</v>
      </c>
      <c r="S3" s="102">
        <v>5</v>
      </c>
      <c r="T3" s="87">
        <v>5</v>
      </c>
      <c r="U3" s="105">
        <v>5</v>
      </c>
    </row>
    <row r="4" spans="1:21" x14ac:dyDescent="0.25">
      <c r="A4" s="76" t="s">
        <v>72</v>
      </c>
      <c r="B4" s="93"/>
      <c r="C4" s="96">
        <v>4</v>
      </c>
      <c r="D4" s="90">
        <v>4</v>
      </c>
      <c r="E4" s="94">
        <v>4</v>
      </c>
      <c r="F4" s="102">
        <v>4</v>
      </c>
      <c r="G4" s="102">
        <v>4</v>
      </c>
      <c r="H4" s="87">
        <v>4</v>
      </c>
      <c r="I4" s="88">
        <v>7</v>
      </c>
      <c r="J4" s="90">
        <v>7</v>
      </c>
      <c r="K4" s="90">
        <v>7</v>
      </c>
      <c r="L4" s="103">
        <v>7</v>
      </c>
      <c r="M4" s="90">
        <v>7</v>
      </c>
      <c r="N4" s="96">
        <v>6</v>
      </c>
      <c r="O4" s="87">
        <v>6</v>
      </c>
      <c r="P4" s="102">
        <v>6</v>
      </c>
      <c r="Q4" s="113">
        <v>6</v>
      </c>
      <c r="R4" s="87">
        <v>6</v>
      </c>
      <c r="S4" s="102">
        <v>6</v>
      </c>
      <c r="T4" s="88">
        <v>3</v>
      </c>
      <c r="U4" s="105">
        <v>3</v>
      </c>
    </row>
    <row r="5" spans="1:21" x14ac:dyDescent="0.25">
      <c r="A5" s="76" t="s">
        <v>73</v>
      </c>
      <c r="B5" s="93"/>
      <c r="C5" s="90"/>
      <c r="D5" s="96">
        <v>3</v>
      </c>
      <c r="E5" s="94">
        <v>3</v>
      </c>
      <c r="F5" s="103">
        <v>3</v>
      </c>
      <c r="G5" s="102">
        <v>3</v>
      </c>
      <c r="H5" s="87">
        <v>3</v>
      </c>
      <c r="I5" s="87">
        <v>3</v>
      </c>
      <c r="J5" s="96">
        <v>4</v>
      </c>
      <c r="K5" s="90">
        <v>4</v>
      </c>
      <c r="L5" s="103">
        <v>4</v>
      </c>
      <c r="M5" s="87">
        <v>4</v>
      </c>
      <c r="N5" s="87">
        <v>4</v>
      </c>
      <c r="O5" s="88">
        <v>7</v>
      </c>
      <c r="P5" s="102">
        <v>7</v>
      </c>
      <c r="Q5" s="113">
        <v>7</v>
      </c>
      <c r="R5" s="87">
        <v>7</v>
      </c>
      <c r="S5" s="102">
        <v>7</v>
      </c>
      <c r="T5" s="87">
        <v>7</v>
      </c>
      <c r="U5" s="105">
        <v>7</v>
      </c>
    </row>
    <row r="6" spans="1:21" ht="15.75" thickBot="1" x14ac:dyDescent="0.3">
      <c r="A6" s="76" t="s">
        <v>74</v>
      </c>
      <c r="B6" s="93"/>
      <c r="C6" s="90"/>
      <c r="D6" s="90"/>
      <c r="E6" s="97">
        <v>2</v>
      </c>
      <c r="F6" s="102">
        <v>2</v>
      </c>
      <c r="G6" s="102">
        <v>2</v>
      </c>
      <c r="H6" s="87">
        <v>2</v>
      </c>
      <c r="I6" s="87">
        <v>2</v>
      </c>
      <c r="J6" s="87">
        <v>2</v>
      </c>
      <c r="K6" s="88">
        <v>5</v>
      </c>
      <c r="L6" s="102">
        <v>5</v>
      </c>
      <c r="M6" s="87">
        <v>5</v>
      </c>
      <c r="N6" s="87">
        <v>5</v>
      </c>
      <c r="O6" s="87">
        <v>5</v>
      </c>
      <c r="P6" s="102">
        <v>5</v>
      </c>
      <c r="Q6" s="88">
        <v>4</v>
      </c>
      <c r="R6" s="87">
        <v>4</v>
      </c>
      <c r="S6" s="102">
        <v>4</v>
      </c>
      <c r="T6" s="87">
        <v>4</v>
      </c>
      <c r="U6" s="105">
        <v>4</v>
      </c>
    </row>
    <row r="7" spans="1:21" ht="15.75" thickBot="1" x14ac:dyDescent="0.3">
      <c r="A7" s="81" t="s">
        <v>75</v>
      </c>
      <c r="B7" s="99" t="s">
        <v>78</v>
      </c>
      <c r="C7" s="100" t="s">
        <v>78</v>
      </c>
      <c r="D7" s="100" t="s">
        <v>78</v>
      </c>
      <c r="E7" s="101" t="s">
        <v>78</v>
      </c>
      <c r="F7" s="100"/>
      <c r="G7" s="100"/>
      <c r="H7" s="100" t="s">
        <v>78</v>
      </c>
      <c r="I7" s="100" t="s">
        <v>78</v>
      </c>
      <c r="J7" s="100" t="s">
        <v>78</v>
      </c>
      <c r="K7" s="100" t="s">
        <v>78</v>
      </c>
      <c r="L7" s="100"/>
      <c r="M7" s="100" t="s">
        <v>78</v>
      </c>
      <c r="N7" s="100" t="s">
        <v>78</v>
      </c>
      <c r="O7" s="100" t="s">
        <v>78</v>
      </c>
      <c r="P7" s="100"/>
      <c r="Q7" s="100" t="s">
        <v>78</v>
      </c>
      <c r="R7" s="100" t="s">
        <v>78</v>
      </c>
      <c r="S7" s="100"/>
      <c r="T7" s="100" t="s">
        <v>78</v>
      </c>
      <c r="U7" s="101"/>
    </row>
    <row r="8" spans="1:21" ht="15.75" thickBot="1" x14ac:dyDescent="0.3">
      <c r="A8" s="86" t="s">
        <v>88</v>
      </c>
      <c r="B8" s="110">
        <v>5</v>
      </c>
      <c r="C8" s="111">
        <v>4</v>
      </c>
      <c r="D8" s="111">
        <v>3</v>
      </c>
      <c r="E8" s="112">
        <v>2</v>
      </c>
      <c r="F8" s="111">
        <v>1</v>
      </c>
      <c r="G8" s="111">
        <v>7</v>
      </c>
      <c r="H8" s="111">
        <v>4</v>
      </c>
      <c r="I8" s="111">
        <v>5</v>
      </c>
      <c r="J8" s="111">
        <v>3</v>
      </c>
      <c r="K8" s="111">
        <v>6</v>
      </c>
      <c r="L8" s="111">
        <v>7</v>
      </c>
      <c r="M8" s="111">
        <v>4</v>
      </c>
      <c r="N8" s="111">
        <v>5</v>
      </c>
      <c r="O8" s="111">
        <v>3</v>
      </c>
      <c r="P8" s="108"/>
      <c r="Q8" s="108"/>
      <c r="R8" s="108"/>
      <c r="S8" s="108"/>
      <c r="T8" s="108"/>
      <c r="U8" s="109"/>
    </row>
    <row r="9" spans="1:21" ht="15.75" thickBot="1" x14ac:dyDescent="0.3">
      <c r="A9" s="86" t="s">
        <v>76</v>
      </c>
      <c r="B9" s="77"/>
      <c r="C9" s="3"/>
      <c r="D9" s="3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</row>
    <row r="10" spans="1:21" x14ac:dyDescent="0.25">
      <c r="A10" s="91" t="s">
        <v>89</v>
      </c>
    </row>
    <row r="15" spans="1:21" ht="15.75" thickBot="1" x14ac:dyDescent="0.3"/>
    <row r="16" spans="1:21" ht="15.75" thickBot="1" x14ac:dyDescent="0.3">
      <c r="A16" s="67" t="s">
        <v>69</v>
      </c>
      <c r="B16" s="150" t="s">
        <v>77</v>
      </c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1"/>
    </row>
    <row r="17" spans="1:21" ht="15.75" thickBot="1" x14ac:dyDescent="0.3">
      <c r="A17" s="86" t="s">
        <v>70</v>
      </c>
      <c r="B17" s="81">
        <v>5</v>
      </c>
      <c r="C17" s="82">
        <v>4</v>
      </c>
      <c r="D17" s="82">
        <v>3</v>
      </c>
      <c r="E17" s="82">
        <v>2</v>
      </c>
      <c r="F17" s="82">
        <v>4</v>
      </c>
      <c r="G17" s="82">
        <v>5</v>
      </c>
      <c r="H17" s="82">
        <v>1</v>
      </c>
      <c r="I17" s="82">
        <v>7</v>
      </c>
      <c r="J17" s="82">
        <v>4</v>
      </c>
      <c r="K17" s="82">
        <v>5</v>
      </c>
      <c r="L17" s="82">
        <v>4</v>
      </c>
      <c r="M17" s="82">
        <v>3</v>
      </c>
      <c r="N17" s="82">
        <v>6</v>
      </c>
      <c r="O17" s="82">
        <v>7</v>
      </c>
      <c r="P17" s="82">
        <v>3</v>
      </c>
      <c r="Q17" s="82">
        <v>4</v>
      </c>
      <c r="R17" s="82">
        <v>5</v>
      </c>
      <c r="S17" s="82">
        <v>4</v>
      </c>
      <c r="T17" s="82">
        <v>3</v>
      </c>
      <c r="U17" s="83">
        <v>7</v>
      </c>
    </row>
    <row r="18" spans="1:21" x14ac:dyDescent="0.25">
      <c r="A18" s="76" t="s">
        <v>71</v>
      </c>
      <c r="B18" s="95">
        <v>5</v>
      </c>
      <c r="C18" s="90">
        <v>5</v>
      </c>
      <c r="D18" s="94">
        <v>5</v>
      </c>
      <c r="E18" s="96">
        <v>2</v>
      </c>
      <c r="F18" s="102">
        <v>2</v>
      </c>
      <c r="G18" s="87">
        <v>2</v>
      </c>
      <c r="H18" s="87">
        <v>2</v>
      </c>
      <c r="I18" s="88">
        <v>7</v>
      </c>
      <c r="J18" s="90">
        <v>7</v>
      </c>
      <c r="K18" s="90">
        <v>7</v>
      </c>
      <c r="L18" s="103">
        <v>7</v>
      </c>
      <c r="M18" s="88">
        <v>3</v>
      </c>
      <c r="N18" s="113">
        <v>3</v>
      </c>
      <c r="O18" s="87">
        <v>3</v>
      </c>
      <c r="P18" s="102">
        <v>3</v>
      </c>
      <c r="Q18" s="88">
        <v>4</v>
      </c>
      <c r="R18" s="87">
        <v>4</v>
      </c>
      <c r="S18" s="89">
        <v>4</v>
      </c>
      <c r="T18" s="87">
        <v>4</v>
      </c>
      <c r="U18" s="97">
        <v>7</v>
      </c>
    </row>
    <row r="19" spans="1:21" x14ac:dyDescent="0.25">
      <c r="A19" s="76" t="s">
        <v>72</v>
      </c>
      <c r="B19" s="93"/>
      <c r="C19" s="96">
        <v>4</v>
      </c>
      <c r="D19" s="94">
        <v>4</v>
      </c>
      <c r="E19" s="90">
        <v>4</v>
      </c>
      <c r="F19" s="102">
        <v>4</v>
      </c>
      <c r="G19" s="88">
        <v>5</v>
      </c>
      <c r="H19" s="87">
        <v>5</v>
      </c>
      <c r="I19" s="87">
        <v>5</v>
      </c>
      <c r="J19" s="96">
        <v>4</v>
      </c>
      <c r="K19" s="90">
        <v>4</v>
      </c>
      <c r="L19" s="103">
        <v>4</v>
      </c>
      <c r="M19" s="90">
        <v>4</v>
      </c>
      <c r="N19" s="96">
        <v>6</v>
      </c>
      <c r="O19" s="87">
        <v>6</v>
      </c>
      <c r="P19" s="102">
        <v>6</v>
      </c>
      <c r="Q19" s="87">
        <v>6</v>
      </c>
      <c r="R19" s="88">
        <v>5</v>
      </c>
      <c r="S19" s="89">
        <v>5</v>
      </c>
      <c r="T19" s="87">
        <v>5</v>
      </c>
      <c r="U19" s="94">
        <v>5</v>
      </c>
    </row>
    <row r="20" spans="1:21" ht="15.75" thickBot="1" x14ac:dyDescent="0.3">
      <c r="A20" s="76" t="s">
        <v>73</v>
      </c>
      <c r="B20" s="93"/>
      <c r="C20" s="90"/>
      <c r="D20" s="97">
        <v>3</v>
      </c>
      <c r="E20" s="90">
        <v>3</v>
      </c>
      <c r="F20" s="103">
        <v>3</v>
      </c>
      <c r="G20" s="87">
        <v>3</v>
      </c>
      <c r="H20" s="88">
        <v>1</v>
      </c>
      <c r="I20" s="87">
        <v>1</v>
      </c>
      <c r="J20" s="90">
        <v>1</v>
      </c>
      <c r="K20" s="96">
        <v>5</v>
      </c>
      <c r="L20" s="103">
        <v>5</v>
      </c>
      <c r="M20" s="87">
        <v>5</v>
      </c>
      <c r="N20" s="87">
        <v>5</v>
      </c>
      <c r="O20" s="88">
        <v>7</v>
      </c>
      <c r="P20" s="102">
        <v>7</v>
      </c>
      <c r="Q20" s="113">
        <v>7</v>
      </c>
      <c r="R20" s="87">
        <v>7</v>
      </c>
      <c r="S20" s="89">
        <v>7</v>
      </c>
      <c r="T20" s="88">
        <v>3</v>
      </c>
      <c r="U20" s="94">
        <v>3</v>
      </c>
    </row>
    <row r="21" spans="1:21" ht="15.75" thickBot="1" x14ac:dyDescent="0.3">
      <c r="A21" s="81" t="s">
        <v>75</v>
      </c>
      <c r="B21" s="99" t="s">
        <v>78</v>
      </c>
      <c r="C21" s="100" t="s">
        <v>78</v>
      </c>
      <c r="D21" s="101" t="s">
        <v>78</v>
      </c>
      <c r="E21" s="100" t="s">
        <v>78</v>
      </c>
      <c r="F21" s="100"/>
      <c r="G21" s="100" t="s">
        <v>78</v>
      </c>
      <c r="H21" s="100" t="s">
        <v>78</v>
      </c>
      <c r="I21" s="100" t="s">
        <v>78</v>
      </c>
      <c r="J21" s="100" t="s">
        <v>78</v>
      </c>
      <c r="K21" s="100" t="s">
        <v>78</v>
      </c>
      <c r="L21" s="100"/>
      <c r="M21" s="100" t="s">
        <v>78</v>
      </c>
      <c r="N21" s="100" t="s">
        <v>78</v>
      </c>
      <c r="O21" s="100" t="s">
        <v>78</v>
      </c>
      <c r="P21" s="100"/>
      <c r="Q21" s="100" t="s">
        <v>78</v>
      </c>
      <c r="R21" s="100" t="s">
        <v>78</v>
      </c>
      <c r="S21" s="100"/>
      <c r="T21" s="100" t="s">
        <v>78</v>
      </c>
      <c r="U21" s="101"/>
    </row>
    <row r="22" spans="1:21" ht="15.75" thickBot="1" x14ac:dyDescent="0.3">
      <c r="A22" s="86" t="s">
        <v>88</v>
      </c>
      <c r="B22" s="115">
        <v>5</v>
      </c>
      <c r="C22" s="116">
        <v>4</v>
      </c>
      <c r="D22" s="117">
        <v>3</v>
      </c>
      <c r="E22" s="116">
        <v>2</v>
      </c>
      <c r="F22" s="116">
        <v>1</v>
      </c>
      <c r="G22" s="116">
        <v>7</v>
      </c>
      <c r="H22" s="116">
        <v>4</v>
      </c>
      <c r="I22" s="116">
        <v>5</v>
      </c>
      <c r="J22" s="116">
        <v>3</v>
      </c>
      <c r="K22" s="116">
        <v>6</v>
      </c>
      <c r="L22" s="116">
        <v>7</v>
      </c>
      <c r="M22" s="116">
        <v>4</v>
      </c>
      <c r="N22" s="116">
        <v>5</v>
      </c>
      <c r="O22" s="116">
        <v>3</v>
      </c>
      <c r="P22" s="100"/>
      <c r="Q22" s="100"/>
      <c r="R22" s="100"/>
      <c r="S22" s="100"/>
      <c r="T22" s="100"/>
      <c r="U22" s="101"/>
    </row>
    <row r="23" spans="1:21" ht="15.75" thickBot="1" x14ac:dyDescent="0.3">
      <c r="A23" s="86" t="s">
        <v>76</v>
      </c>
      <c r="B23" s="78"/>
      <c r="C23" s="79"/>
      <c r="D23" s="80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80"/>
    </row>
    <row r="24" spans="1:21" x14ac:dyDescent="0.25">
      <c r="A24" s="91" t="s">
        <v>89</v>
      </c>
    </row>
  </sheetData>
  <mergeCells count="2">
    <mergeCell ref="B1:U1"/>
    <mergeCell ref="B16:U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41" sqref="K41"/>
    </sheetView>
  </sheetViews>
  <sheetFormatPr defaultRowHeight="15" x14ac:dyDescent="0.25"/>
  <sheetData>
    <row r="1" spans="1:21" ht="15.75" thickBot="1" x14ac:dyDescent="0.3">
      <c r="A1" s="67" t="s">
        <v>69</v>
      </c>
      <c r="B1" s="146" t="s">
        <v>77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7"/>
    </row>
    <row r="2" spans="1:21" ht="15.75" thickBot="1" x14ac:dyDescent="0.3">
      <c r="A2" s="86" t="s">
        <v>70</v>
      </c>
      <c r="B2" s="81">
        <v>5</v>
      </c>
      <c r="C2" s="82">
        <v>4</v>
      </c>
      <c r="D2" s="82">
        <v>3</v>
      </c>
      <c r="E2" s="83">
        <v>2</v>
      </c>
      <c r="F2" s="84">
        <v>4</v>
      </c>
      <c r="G2" s="84">
        <v>5</v>
      </c>
      <c r="H2" s="84">
        <v>1</v>
      </c>
      <c r="I2" s="84">
        <v>7</v>
      </c>
      <c r="J2" s="84">
        <v>4</v>
      </c>
      <c r="K2" s="84">
        <v>5</v>
      </c>
      <c r="L2" s="84">
        <v>4</v>
      </c>
      <c r="M2" s="84">
        <v>3</v>
      </c>
      <c r="N2" s="84">
        <v>6</v>
      </c>
      <c r="O2" s="84">
        <v>7</v>
      </c>
      <c r="P2" s="84">
        <v>3</v>
      </c>
      <c r="Q2" s="84">
        <v>4</v>
      </c>
      <c r="R2" s="84">
        <v>5</v>
      </c>
      <c r="S2" s="84">
        <v>4</v>
      </c>
      <c r="T2" s="84">
        <v>3</v>
      </c>
      <c r="U2" s="85">
        <v>7</v>
      </c>
    </row>
    <row r="3" spans="1:21" x14ac:dyDescent="0.25">
      <c r="A3" s="76" t="s">
        <v>71</v>
      </c>
      <c r="B3" s="95">
        <v>5</v>
      </c>
      <c r="C3" s="90">
        <v>5</v>
      </c>
      <c r="D3" s="90">
        <v>5</v>
      </c>
      <c r="E3" s="94">
        <v>5</v>
      </c>
      <c r="F3" s="102">
        <v>5</v>
      </c>
      <c r="G3" s="102">
        <v>5</v>
      </c>
      <c r="H3" s="87">
        <v>5</v>
      </c>
      <c r="I3" s="87">
        <v>5</v>
      </c>
      <c r="J3" s="119">
        <v>5</v>
      </c>
      <c r="K3" s="119">
        <v>5</v>
      </c>
      <c r="L3" s="119">
        <v>5</v>
      </c>
      <c r="M3" s="87">
        <v>5</v>
      </c>
      <c r="N3" s="113">
        <v>5</v>
      </c>
      <c r="O3" s="88">
        <v>7</v>
      </c>
      <c r="P3" s="102">
        <v>7</v>
      </c>
      <c r="Q3" s="120">
        <v>7</v>
      </c>
      <c r="R3" s="88">
        <v>7</v>
      </c>
      <c r="S3" s="102">
        <v>7</v>
      </c>
      <c r="T3" s="120">
        <v>7</v>
      </c>
      <c r="U3" s="105">
        <v>7</v>
      </c>
    </row>
    <row r="4" spans="1:21" x14ac:dyDescent="0.25">
      <c r="A4" s="76" t="s">
        <v>72</v>
      </c>
      <c r="B4" s="93"/>
      <c r="C4" s="96">
        <v>4</v>
      </c>
      <c r="D4" s="90">
        <v>4</v>
      </c>
      <c r="E4" s="94">
        <v>4</v>
      </c>
      <c r="F4" s="102">
        <v>4</v>
      </c>
      <c r="G4" s="102">
        <v>4</v>
      </c>
      <c r="H4" s="87">
        <v>4</v>
      </c>
      <c r="I4" s="87">
        <v>4</v>
      </c>
      <c r="J4" s="119">
        <v>4</v>
      </c>
      <c r="K4" s="119">
        <v>4</v>
      </c>
      <c r="L4" s="119">
        <v>4</v>
      </c>
      <c r="M4" s="90">
        <v>4</v>
      </c>
      <c r="N4" s="90">
        <v>4</v>
      </c>
      <c r="O4" s="87">
        <v>4</v>
      </c>
      <c r="P4" s="102">
        <v>4</v>
      </c>
      <c r="Q4" s="120">
        <v>4</v>
      </c>
      <c r="R4" s="87">
        <v>4</v>
      </c>
      <c r="S4" s="102">
        <v>4</v>
      </c>
      <c r="T4" s="120">
        <v>4</v>
      </c>
      <c r="U4" s="105">
        <v>4</v>
      </c>
    </row>
    <row r="5" spans="1:21" x14ac:dyDescent="0.25">
      <c r="A5" s="76" t="s">
        <v>73</v>
      </c>
      <c r="B5" s="93"/>
      <c r="C5" s="90"/>
      <c r="D5" s="96">
        <v>3</v>
      </c>
      <c r="E5" s="94">
        <v>3</v>
      </c>
      <c r="F5" s="103">
        <v>3</v>
      </c>
      <c r="G5" s="102">
        <v>3</v>
      </c>
      <c r="H5" s="88">
        <v>1</v>
      </c>
      <c r="I5" s="87">
        <v>1</v>
      </c>
      <c r="J5" s="119">
        <v>1</v>
      </c>
      <c r="K5" s="119">
        <v>1</v>
      </c>
      <c r="L5" s="119">
        <v>1</v>
      </c>
      <c r="M5" s="88">
        <v>3</v>
      </c>
      <c r="N5" s="87">
        <v>3</v>
      </c>
      <c r="O5" s="87">
        <v>3</v>
      </c>
      <c r="P5" s="102">
        <v>3</v>
      </c>
      <c r="Q5" s="120">
        <v>3</v>
      </c>
      <c r="R5" s="87">
        <v>3</v>
      </c>
      <c r="S5" s="102">
        <v>3</v>
      </c>
      <c r="T5" s="120">
        <v>3</v>
      </c>
      <c r="U5" s="105">
        <v>3</v>
      </c>
    </row>
    <row r="6" spans="1:21" ht="15.75" thickBot="1" x14ac:dyDescent="0.3">
      <c r="A6" s="76" t="s">
        <v>74</v>
      </c>
      <c r="B6" s="93"/>
      <c r="C6" s="90"/>
      <c r="D6" s="90"/>
      <c r="E6" s="97">
        <v>2</v>
      </c>
      <c r="F6" s="102">
        <v>2</v>
      </c>
      <c r="G6" s="102">
        <v>2</v>
      </c>
      <c r="H6" s="87">
        <v>2</v>
      </c>
      <c r="I6" s="88">
        <v>7</v>
      </c>
      <c r="J6" s="120">
        <v>7</v>
      </c>
      <c r="K6" s="120">
        <v>7</v>
      </c>
      <c r="L6" s="120">
        <v>7</v>
      </c>
      <c r="M6" s="87">
        <v>7</v>
      </c>
      <c r="N6" s="88">
        <v>6</v>
      </c>
      <c r="O6" s="87">
        <v>6</v>
      </c>
      <c r="P6" s="102">
        <v>6</v>
      </c>
      <c r="Q6" s="120">
        <v>6</v>
      </c>
      <c r="R6" s="87">
        <v>5</v>
      </c>
      <c r="S6" s="102">
        <v>5</v>
      </c>
      <c r="T6" s="120">
        <v>5</v>
      </c>
      <c r="U6" s="105">
        <v>5</v>
      </c>
    </row>
    <row r="7" spans="1:21" ht="15.75" thickBot="1" x14ac:dyDescent="0.3">
      <c r="A7" s="81" t="s">
        <v>75</v>
      </c>
      <c r="B7" s="99" t="s">
        <v>78</v>
      </c>
      <c r="C7" s="100" t="s">
        <v>78</v>
      </c>
      <c r="D7" s="100" t="s">
        <v>78</v>
      </c>
      <c r="E7" s="101" t="s">
        <v>78</v>
      </c>
      <c r="F7" s="100"/>
      <c r="G7" s="100"/>
      <c r="H7" s="100" t="s">
        <v>78</v>
      </c>
      <c r="I7" s="100" t="s">
        <v>78</v>
      </c>
      <c r="J7" s="100"/>
      <c r="K7" s="100"/>
      <c r="L7" s="100"/>
      <c r="M7" s="100" t="s">
        <v>78</v>
      </c>
      <c r="N7" s="100" t="s">
        <v>78</v>
      </c>
      <c r="O7" s="100" t="s">
        <v>78</v>
      </c>
      <c r="P7" s="100"/>
      <c r="Q7" s="100"/>
      <c r="R7" s="100" t="s">
        <v>78</v>
      </c>
      <c r="S7" s="100"/>
      <c r="T7" s="100"/>
      <c r="U7" s="101"/>
    </row>
    <row r="8" spans="1:21" ht="15.75" thickBot="1" x14ac:dyDescent="0.3">
      <c r="A8" s="86"/>
      <c r="B8" s="77"/>
      <c r="C8" s="3"/>
      <c r="D8" s="3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91" t="s">
        <v>90</v>
      </c>
    </row>
  </sheetData>
  <mergeCells count="1">
    <mergeCell ref="B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workbookViewId="0">
      <selection activeCell="J23" sqref="J23"/>
    </sheetView>
  </sheetViews>
  <sheetFormatPr defaultRowHeight="15" x14ac:dyDescent="0.25"/>
  <sheetData>
    <row r="1" spans="1:18" ht="15.75" thickBot="1" x14ac:dyDescent="0.3">
      <c r="A1" s="67" t="s">
        <v>69</v>
      </c>
      <c r="B1" s="148" t="s">
        <v>77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7"/>
    </row>
    <row r="2" spans="1:18" ht="15.75" thickBot="1" x14ac:dyDescent="0.3">
      <c r="A2" s="86" t="s">
        <v>70</v>
      </c>
      <c r="B2" s="81">
        <v>5</v>
      </c>
      <c r="C2" s="82">
        <v>4</v>
      </c>
      <c r="D2" s="82">
        <v>3</v>
      </c>
      <c r="E2" s="83">
        <v>2</v>
      </c>
      <c r="F2" s="81">
        <v>4</v>
      </c>
      <c r="G2" s="82">
        <v>5</v>
      </c>
      <c r="H2" s="92" t="s">
        <v>91</v>
      </c>
      <c r="I2" s="82"/>
      <c r="J2" s="82"/>
      <c r="K2" s="82"/>
      <c r="L2" s="82">
        <v>7</v>
      </c>
      <c r="M2" s="82">
        <v>3</v>
      </c>
      <c r="N2" s="82">
        <v>4</v>
      </c>
      <c r="O2" s="82"/>
      <c r="P2" s="82">
        <v>5</v>
      </c>
      <c r="Q2" s="82"/>
      <c r="R2" s="83"/>
    </row>
    <row r="3" spans="1:18" x14ac:dyDescent="0.25">
      <c r="A3" s="76" t="s">
        <v>71</v>
      </c>
      <c r="B3" s="123">
        <v>5.0999999999999996</v>
      </c>
      <c r="C3" s="98">
        <v>5.0999999999999996</v>
      </c>
      <c r="D3" s="98">
        <v>5.0999999999999996</v>
      </c>
      <c r="E3" s="114">
        <v>5.0999999999999996</v>
      </c>
      <c r="F3" s="130">
        <v>5.0999999999999996</v>
      </c>
      <c r="G3" s="119">
        <v>5.0999999999999996</v>
      </c>
      <c r="H3" s="122">
        <v>5</v>
      </c>
      <c r="I3" s="121">
        <v>5</v>
      </c>
      <c r="J3" s="121">
        <v>5</v>
      </c>
      <c r="K3" s="121">
        <v>5</v>
      </c>
      <c r="L3" s="96">
        <v>1.1000000000000001</v>
      </c>
      <c r="M3" s="87">
        <v>1.1000000000000001</v>
      </c>
      <c r="N3" s="113">
        <v>1.1000000000000001</v>
      </c>
      <c r="O3" s="88">
        <v>1.1000000000000001</v>
      </c>
      <c r="P3" s="129">
        <v>1</v>
      </c>
      <c r="Q3" s="128">
        <v>1</v>
      </c>
      <c r="R3" s="131">
        <v>1</v>
      </c>
    </row>
    <row r="4" spans="1:18" x14ac:dyDescent="0.25">
      <c r="A4" s="76" t="s">
        <v>72</v>
      </c>
      <c r="B4" s="93"/>
      <c r="C4" s="96">
        <v>4.0999999999999996</v>
      </c>
      <c r="D4" s="90">
        <v>4.0999999999999996</v>
      </c>
      <c r="E4" s="94">
        <v>4.0999999999999996</v>
      </c>
      <c r="F4" s="130">
        <v>4.0999999999999996</v>
      </c>
      <c r="G4" s="119">
        <v>4.0999999999999996</v>
      </c>
      <c r="H4" s="90">
        <v>4.0999999999999996</v>
      </c>
      <c r="I4" s="121">
        <v>4</v>
      </c>
      <c r="J4" s="125">
        <v>4</v>
      </c>
      <c r="K4" s="125">
        <v>4</v>
      </c>
      <c r="L4" s="125">
        <v>7.1</v>
      </c>
      <c r="M4" s="90">
        <v>7.1</v>
      </c>
      <c r="N4" s="90">
        <v>7.1</v>
      </c>
      <c r="O4" s="87">
        <v>7.1</v>
      </c>
      <c r="P4" s="102">
        <v>7.1</v>
      </c>
      <c r="Q4" s="128">
        <v>7</v>
      </c>
      <c r="R4" s="132">
        <v>7.1</v>
      </c>
    </row>
    <row r="5" spans="1:18" x14ac:dyDescent="0.25">
      <c r="A5" s="76" t="s">
        <v>73</v>
      </c>
      <c r="B5" s="93"/>
      <c r="C5" s="90"/>
      <c r="D5" s="96">
        <v>3.1</v>
      </c>
      <c r="E5" s="94">
        <v>3.1</v>
      </c>
      <c r="F5" s="130">
        <v>3.1</v>
      </c>
      <c r="G5" s="119">
        <v>3.1</v>
      </c>
      <c r="H5" s="118">
        <v>3.1</v>
      </c>
      <c r="I5" s="118">
        <v>3.1</v>
      </c>
      <c r="J5" s="127">
        <v>3</v>
      </c>
      <c r="K5" s="126">
        <v>3</v>
      </c>
      <c r="L5" s="126">
        <v>3</v>
      </c>
      <c r="M5" s="122">
        <v>3.1</v>
      </c>
      <c r="N5" s="121">
        <v>3</v>
      </c>
      <c r="O5" s="122">
        <v>3</v>
      </c>
      <c r="P5" s="129">
        <v>3</v>
      </c>
      <c r="Q5" s="128">
        <v>3</v>
      </c>
      <c r="R5" s="132">
        <v>5.0999999999999996</v>
      </c>
    </row>
    <row r="6" spans="1:18" ht="15.75" thickBot="1" x14ac:dyDescent="0.3">
      <c r="A6" s="76" t="s">
        <v>74</v>
      </c>
      <c r="B6" s="86"/>
      <c r="C6" s="84"/>
      <c r="D6" s="84"/>
      <c r="E6" s="124">
        <v>2.1</v>
      </c>
      <c r="F6" s="130">
        <v>2.1</v>
      </c>
      <c r="G6" s="119">
        <v>2.1</v>
      </c>
      <c r="H6" s="121">
        <v>2.1</v>
      </c>
      <c r="I6" s="121">
        <v>2.1</v>
      </c>
      <c r="J6" s="128">
        <v>2</v>
      </c>
      <c r="K6" s="128">
        <v>2</v>
      </c>
      <c r="L6" s="128">
        <v>2</v>
      </c>
      <c r="M6" s="121">
        <v>2</v>
      </c>
      <c r="N6" s="121">
        <v>2</v>
      </c>
      <c r="O6" s="121">
        <v>4.0999999999999996</v>
      </c>
      <c r="P6" s="129">
        <v>4.0999999999999996</v>
      </c>
      <c r="Q6" s="120">
        <v>4.0999999999999996</v>
      </c>
      <c r="R6" s="132">
        <v>4.0999999999999996</v>
      </c>
    </row>
    <row r="7" spans="1:18" ht="15.75" thickBot="1" x14ac:dyDescent="0.3">
      <c r="A7" s="81" t="s">
        <v>75</v>
      </c>
      <c r="B7" s="99" t="s">
        <v>78</v>
      </c>
      <c r="C7" s="100" t="s">
        <v>78</v>
      </c>
      <c r="D7" s="100" t="s">
        <v>78</v>
      </c>
      <c r="E7" s="101" t="s">
        <v>78</v>
      </c>
      <c r="F7" s="99"/>
      <c r="G7" s="100"/>
      <c r="H7" s="100" t="s">
        <v>78</v>
      </c>
      <c r="I7" s="100" t="s">
        <v>78</v>
      </c>
      <c r="J7" s="100"/>
      <c r="K7" s="100"/>
      <c r="L7" s="100"/>
      <c r="M7" s="100" t="s">
        <v>78</v>
      </c>
      <c r="N7" s="100" t="s">
        <v>78</v>
      </c>
      <c r="O7" s="100" t="s">
        <v>78</v>
      </c>
      <c r="P7" s="100"/>
      <c r="Q7" s="100"/>
      <c r="R7" s="101" t="s">
        <v>78</v>
      </c>
    </row>
    <row r="8" spans="1:18" ht="15.75" thickBot="1" x14ac:dyDescent="0.3">
      <c r="A8" s="86"/>
      <c r="B8" s="77"/>
      <c r="C8" s="3"/>
      <c r="D8" s="3"/>
      <c r="E8" s="4"/>
      <c r="F8" s="7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4"/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10</vt:i4>
      </vt:variant>
    </vt:vector>
  </HeadingPairs>
  <TitlesOfParts>
    <vt:vector size="10" baseType="lpstr">
      <vt:lpstr>Munka1</vt:lpstr>
      <vt:lpstr>1.feladat</vt:lpstr>
      <vt:lpstr>3.feladat</vt:lpstr>
      <vt:lpstr>4.feladat</vt:lpstr>
      <vt:lpstr>17.feladat</vt:lpstr>
      <vt:lpstr>21.feladat</vt:lpstr>
      <vt:lpstr>Munka2</vt:lpstr>
      <vt:lpstr>fifo</vt:lpstr>
      <vt:lpstr>LRU</vt:lpstr>
      <vt:lpstr>SC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Szabó Beni</cp:lastModifiedBy>
  <dcterms:created xsi:type="dcterms:W3CDTF">2026-04-17T12:01:04Z</dcterms:created>
  <dcterms:modified xsi:type="dcterms:W3CDTF">2026-05-30T14:49:52Z</dcterms:modified>
</cp:coreProperties>
</file>